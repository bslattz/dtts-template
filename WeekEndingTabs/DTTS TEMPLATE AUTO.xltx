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Visual Studio 2017\Projects\WeekEndingTabs\WeekEndingTabs\"/>
    </mc:Choice>
  </mc:AlternateContent>
  <bookViews>
    <workbookView xWindow="0" yWindow="0" windowWidth="19185" windowHeight="9810" tabRatio="799" firstSheet="1" activeTab="9"/>
  </bookViews>
  <sheets>
    <sheet name="CHEQUES" sheetId="8" r:id="rId1"/>
    <sheet name="Chart1" sheetId="12" r:id="rId2"/>
    <sheet name="Mon 20" sheetId="1" r:id="rId3"/>
    <sheet name="Tue 21" sheetId="2" r:id="rId4"/>
    <sheet name="Wed 22" sheetId="3" r:id="rId5"/>
    <sheet name="Thu 23" sheetId="4" r:id="rId6"/>
    <sheet name="Fri 24" sheetId="5" r:id="rId7"/>
    <sheet name="Sat 25" sheetId="6" r:id="rId8"/>
    <sheet name="Sun 26" sheetId="7" r:id="rId9"/>
    <sheet name="Summary 200217 - 260217" sheetId="9" r:id="rId10"/>
    <sheet name="DAILY TOTALS" sheetId="10" r:id="rId11"/>
    <sheet name="config" sheetId="11" r:id="rId12"/>
  </sheets>
  <definedNames>
    <definedName name="closingDate">'Summary 200217 - 260217'!$D$1</definedName>
    <definedName name="datedSheets">config!$E$4:$L$4</definedName>
    <definedName name="datedSheetsFmt">config!$E$6:$L$6</definedName>
    <definedName name="dayDates">config!$E$5:$K$5</definedName>
    <definedName name="dayDatesRaw">config!$E$2:$K$2</definedName>
    <definedName name="daysOfWeek">config!$E$4:$K$4</definedName>
    <definedName name="daysOfWeekFmt">config!$E$6:$K$6</definedName>
    <definedName name="daysOfWeekRaw">config!$E$1:$K$1</definedName>
    <definedName name="lastDayOfWeek">config!$B$1</definedName>
    <definedName name="mondayDate">'Mon 20'!$D$1</definedName>
    <definedName name="prevWEDate">config!$B$3</definedName>
    <definedName name="prevWEDaye">config!$B$3</definedName>
    <definedName name="selectedDate">config!$B$2</definedName>
    <definedName name="sheetName">MID(CELL("filename",!A1),FIND("]",CELL("filename",!A1))+1,255)</definedName>
  </definedNames>
  <calcPr calcId="162913" refMode="R1C1"/>
</workbook>
</file>

<file path=xl/calcChain.xml><?xml version="1.0" encoding="utf-8"?>
<calcChain xmlns="http://schemas.openxmlformats.org/spreadsheetml/2006/main">
  <c r="B2" i="11" l="1"/>
  <c r="D33" i="1" l="1"/>
  <c r="C1" i="11" l="1"/>
  <c r="K3" i="11" s="1"/>
  <c r="H29" i="10"/>
  <c r="G29" i="10"/>
  <c r="F29" i="10"/>
  <c r="E29" i="10"/>
  <c r="D29" i="10"/>
  <c r="C29" i="10"/>
  <c r="B29" i="10"/>
  <c r="I29" i="10" s="1"/>
  <c r="J29" i="10" s="1"/>
  <c r="H27" i="10"/>
  <c r="G27" i="10"/>
  <c r="F27" i="10"/>
  <c r="E27" i="10"/>
  <c r="D27" i="10"/>
  <c r="C27" i="10"/>
  <c r="B27" i="10"/>
  <c r="E1" i="10"/>
  <c r="A1" i="10"/>
  <c r="C88" i="9"/>
  <c r="C87" i="9"/>
  <c r="C86" i="9"/>
  <c r="C85" i="9"/>
  <c r="C84" i="9"/>
  <c r="C83" i="9"/>
  <c r="C82" i="9"/>
  <c r="C81" i="9"/>
  <c r="C80" i="9"/>
  <c r="F79" i="9"/>
  <c r="C79" i="9"/>
  <c r="F78" i="9"/>
  <c r="C78" i="9"/>
  <c r="F77" i="9"/>
  <c r="C77" i="9"/>
  <c r="F76" i="9"/>
  <c r="C76" i="9"/>
  <c r="F75" i="9"/>
  <c r="C75" i="9"/>
  <c r="F74" i="9"/>
  <c r="C74" i="9"/>
  <c r="F73" i="9"/>
  <c r="C73" i="9"/>
  <c r="C72" i="9"/>
  <c r="C71" i="9"/>
  <c r="A69" i="9"/>
  <c r="D65" i="9"/>
  <c r="C65" i="9"/>
  <c r="B65" i="9"/>
  <c r="H62" i="9"/>
  <c r="F62" i="9"/>
  <c r="E62" i="9"/>
  <c r="D62" i="9"/>
  <c r="C62" i="9"/>
  <c r="B62" i="9"/>
  <c r="H61" i="9"/>
  <c r="F61" i="9"/>
  <c r="E61" i="9"/>
  <c r="D61" i="9"/>
  <c r="C61" i="9"/>
  <c r="B61" i="9"/>
  <c r="H60" i="9"/>
  <c r="F60" i="9"/>
  <c r="E60" i="9"/>
  <c r="D60" i="9"/>
  <c r="C60" i="9"/>
  <c r="B60" i="9"/>
  <c r="H59" i="9"/>
  <c r="F59" i="9"/>
  <c r="E59" i="9"/>
  <c r="D59" i="9"/>
  <c r="C59" i="9"/>
  <c r="B59" i="9"/>
  <c r="H58" i="9"/>
  <c r="F58" i="9"/>
  <c r="E58" i="9"/>
  <c r="D58" i="9"/>
  <c r="C58" i="9"/>
  <c r="B58" i="9"/>
  <c r="H57" i="9"/>
  <c r="F57" i="9"/>
  <c r="E57" i="9"/>
  <c r="D57" i="9"/>
  <c r="D63" i="9" s="1"/>
  <c r="C57" i="9"/>
  <c r="B57" i="9"/>
  <c r="H54" i="9"/>
  <c r="F54" i="9"/>
  <c r="E54" i="9"/>
  <c r="D54" i="9"/>
  <c r="C54" i="9"/>
  <c r="B54" i="9"/>
  <c r="H53" i="9"/>
  <c r="F53" i="9"/>
  <c r="E53" i="9"/>
  <c r="E55" i="9" s="1"/>
  <c r="D53" i="9"/>
  <c r="C53" i="9"/>
  <c r="B53" i="9"/>
  <c r="H52" i="9"/>
  <c r="F52" i="9"/>
  <c r="E52" i="9"/>
  <c r="D52" i="9"/>
  <c r="C52" i="9"/>
  <c r="B52" i="9"/>
  <c r="H49" i="9"/>
  <c r="F49" i="9"/>
  <c r="E49" i="9"/>
  <c r="D49" i="9"/>
  <c r="C49" i="9"/>
  <c r="B49" i="9"/>
  <c r="H48" i="9"/>
  <c r="F48" i="9"/>
  <c r="E48" i="9"/>
  <c r="D48" i="9"/>
  <c r="C48" i="9"/>
  <c r="B48" i="9"/>
  <c r="H47" i="9"/>
  <c r="F47" i="9"/>
  <c r="E47" i="9"/>
  <c r="D47" i="9"/>
  <c r="C47" i="9"/>
  <c r="B47" i="9"/>
  <c r="H46" i="9"/>
  <c r="F46" i="9"/>
  <c r="E46" i="9"/>
  <c r="D46" i="9"/>
  <c r="C46" i="9"/>
  <c r="C50" i="9" s="1"/>
  <c r="B46" i="9"/>
  <c r="H44" i="9"/>
  <c r="F44" i="9"/>
  <c r="E44" i="9"/>
  <c r="D44" i="9"/>
  <c r="C44" i="9"/>
  <c r="B44" i="9"/>
  <c r="H43" i="9"/>
  <c r="F43" i="9"/>
  <c r="E43" i="9"/>
  <c r="D43" i="9"/>
  <c r="C43" i="9"/>
  <c r="B43" i="9"/>
  <c r="H42" i="9"/>
  <c r="F42" i="9"/>
  <c r="E42" i="9"/>
  <c r="D42" i="9"/>
  <c r="C42" i="9"/>
  <c r="B42" i="9"/>
  <c r="H41" i="9"/>
  <c r="F41" i="9"/>
  <c r="E41" i="9"/>
  <c r="D41" i="9"/>
  <c r="C41" i="9"/>
  <c r="B41" i="9"/>
  <c r="H40" i="9"/>
  <c r="F40" i="9"/>
  <c r="E40" i="9"/>
  <c r="D40" i="9"/>
  <c r="C40" i="9"/>
  <c r="B40" i="9"/>
  <c r="H39" i="9"/>
  <c r="F39" i="9"/>
  <c r="E39" i="9"/>
  <c r="D39" i="9"/>
  <c r="C39" i="9"/>
  <c r="B39" i="9"/>
  <c r="H38" i="9"/>
  <c r="F38" i="9"/>
  <c r="E38" i="9"/>
  <c r="D38" i="9"/>
  <c r="C38" i="9"/>
  <c r="B38" i="9"/>
  <c r="H37" i="9"/>
  <c r="F37" i="9"/>
  <c r="E37" i="9"/>
  <c r="D37" i="9"/>
  <c r="C37" i="9"/>
  <c r="B37" i="9"/>
  <c r="H36" i="9"/>
  <c r="F36" i="9"/>
  <c r="E36" i="9"/>
  <c r="D36" i="9"/>
  <c r="C36" i="9"/>
  <c r="B36" i="9"/>
  <c r="H35" i="9"/>
  <c r="F35" i="9"/>
  <c r="F45" i="9" s="1"/>
  <c r="E35" i="9"/>
  <c r="D35" i="9"/>
  <c r="C35" i="9"/>
  <c r="B35" i="9"/>
  <c r="A33" i="9"/>
  <c r="I29" i="9"/>
  <c r="H29" i="9"/>
  <c r="G29" i="9"/>
  <c r="E29" i="9"/>
  <c r="C29" i="9"/>
  <c r="B29" i="9"/>
  <c r="I26" i="9"/>
  <c r="H26" i="9"/>
  <c r="G26" i="9"/>
  <c r="E26" i="9"/>
  <c r="C26" i="9"/>
  <c r="B26" i="9"/>
  <c r="I25" i="9"/>
  <c r="H25" i="9"/>
  <c r="G25" i="9"/>
  <c r="E25" i="9"/>
  <c r="C25" i="9"/>
  <c r="B25" i="9"/>
  <c r="I24" i="9"/>
  <c r="H24" i="9"/>
  <c r="G24" i="9"/>
  <c r="E24" i="9"/>
  <c r="C24" i="9"/>
  <c r="B24" i="9"/>
  <c r="I23" i="9"/>
  <c r="H23" i="9"/>
  <c r="G23" i="9"/>
  <c r="E23" i="9"/>
  <c r="C23" i="9"/>
  <c r="B23" i="9"/>
  <c r="I22" i="9"/>
  <c r="H22" i="9"/>
  <c r="G22" i="9"/>
  <c r="E22" i="9"/>
  <c r="C22" i="9"/>
  <c r="B22" i="9"/>
  <c r="I21" i="9"/>
  <c r="H21" i="9"/>
  <c r="G21" i="9"/>
  <c r="E21" i="9"/>
  <c r="C21" i="9"/>
  <c r="B21" i="9"/>
  <c r="C19" i="9"/>
  <c r="I18" i="9"/>
  <c r="H18" i="9"/>
  <c r="G18" i="9"/>
  <c r="E18" i="9"/>
  <c r="C18" i="9"/>
  <c r="B18" i="9"/>
  <c r="I17" i="9"/>
  <c r="I19" i="9" s="1"/>
  <c r="H17" i="9"/>
  <c r="G17" i="9"/>
  <c r="E17" i="9"/>
  <c r="C17" i="9"/>
  <c r="B17" i="9"/>
  <c r="J17" i="9" s="1"/>
  <c r="J53" i="9" s="1"/>
  <c r="E75" i="9" s="1"/>
  <c r="I16" i="9"/>
  <c r="H16" i="9"/>
  <c r="G16" i="9"/>
  <c r="G19" i="9" s="1"/>
  <c r="E16" i="9"/>
  <c r="E19" i="9" s="1"/>
  <c r="C16" i="9"/>
  <c r="B16" i="9"/>
  <c r="I13" i="9"/>
  <c r="H13" i="9"/>
  <c r="G13" i="9"/>
  <c r="E13" i="9"/>
  <c r="C13" i="9"/>
  <c r="B13" i="9"/>
  <c r="I12" i="9"/>
  <c r="H12" i="9"/>
  <c r="G12" i="9"/>
  <c r="E12" i="9"/>
  <c r="C12" i="9"/>
  <c r="B12" i="9"/>
  <c r="I11" i="9"/>
  <c r="H11" i="9"/>
  <c r="G11" i="9"/>
  <c r="E11" i="9"/>
  <c r="C11" i="9"/>
  <c r="B11" i="9"/>
  <c r="I10" i="9"/>
  <c r="H10" i="9"/>
  <c r="G10" i="9"/>
  <c r="G14" i="9" s="1"/>
  <c r="E10" i="9"/>
  <c r="C10" i="9"/>
  <c r="B10" i="9"/>
  <c r="I8" i="9"/>
  <c r="H8" i="9"/>
  <c r="G8" i="9"/>
  <c r="E8" i="9"/>
  <c r="C8" i="9"/>
  <c r="B8" i="9"/>
  <c r="I7" i="9"/>
  <c r="H7" i="9"/>
  <c r="G7" i="9"/>
  <c r="E7" i="9"/>
  <c r="C7" i="9"/>
  <c r="B7" i="9"/>
  <c r="I6" i="9"/>
  <c r="H6" i="9"/>
  <c r="G6" i="9"/>
  <c r="E6" i="9"/>
  <c r="C6" i="9"/>
  <c r="B6" i="9"/>
  <c r="I5" i="9"/>
  <c r="H5" i="9"/>
  <c r="G5" i="9"/>
  <c r="E5" i="9"/>
  <c r="C5" i="9"/>
  <c r="B5" i="9"/>
  <c r="I4" i="9"/>
  <c r="H4" i="9"/>
  <c r="G4" i="9"/>
  <c r="E4" i="9"/>
  <c r="C4" i="9"/>
  <c r="B4" i="9"/>
  <c r="I3" i="9"/>
  <c r="H3" i="9"/>
  <c r="G3" i="9"/>
  <c r="G9" i="9" s="1"/>
  <c r="E3" i="9"/>
  <c r="C3" i="9"/>
  <c r="B3" i="9"/>
  <c r="E7" i="8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E5" i="8"/>
  <c r="E6" i="8" s="1"/>
  <c r="E70" i="7"/>
  <c r="A69" i="7"/>
  <c r="H63" i="7"/>
  <c r="F63" i="7"/>
  <c r="E63" i="7"/>
  <c r="D63" i="7"/>
  <c r="H8" i="10" s="1"/>
  <c r="C63" i="7"/>
  <c r="H24" i="10" s="1"/>
  <c r="B63" i="7"/>
  <c r="H21" i="10" s="1"/>
  <c r="J62" i="7"/>
  <c r="J59" i="7"/>
  <c r="J58" i="7"/>
  <c r="H55" i="7"/>
  <c r="F55" i="7"/>
  <c r="E55" i="7"/>
  <c r="D55" i="7"/>
  <c r="C55" i="7"/>
  <c r="B55" i="7"/>
  <c r="J54" i="7"/>
  <c r="E76" i="7" s="1"/>
  <c r="H51" i="7"/>
  <c r="H56" i="7" s="1"/>
  <c r="H64" i="7" s="1"/>
  <c r="H66" i="7" s="1"/>
  <c r="C51" i="7"/>
  <c r="C56" i="7" s="1"/>
  <c r="F50" i="7"/>
  <c r="F51" i="7" s="1"/>
  <c r="F56" i="7" s="1"/>
  <c r="F64" i="7" s="1"/>
  <c r="F66" i="7" s="1"/>
  <c r="E50" i="7"/>
  <c r="E51" i="7" s="1"/>
  <c r="E56" i="7" s="1"/>
  <c r="E64" i="7" s="1"/>
  <c r="E66" i="7" s="1"/>
  <c r="D50" i="7"/>
  <c r="C50" i="7"/>
  <c r="B50" i="7"/>
  <c r="B51" i="7" s="1"/>
  <c r="B56" i="7" s="1"/>
  <c r="J46" i="7"/>
  <c r="E73" i="7" s="1"/>
  <c r="H45" i="7"/>
  <c r="F45" i="7"/>
  <c r="E45" i="7"/>
  <c r="D45" i="7"/>
  <c r="D51" i="7" s="1"/>
  <c r="D56" i="7" s="1"/>
  <c r="C45" i="7"/>
  <c r="B45" i="7"/>
  <c r="A33" i="7"/>
  <c r="I27" i="7"/>
  <c r="H27" i="7"/>
  <c r="G27" i="7"/>
  <c r="E27" i="7"/>
  <c r="H14" i="10" s="1"/>
  <c r="C27" i="7"/>
  <c r="J27" i="7" s="1"/>
  <c r="J63" i="7" s="1"/>
  <c r="E77" i="7" s="1"/>
  <c r="B27" i="7"/>
  <c r="J26" i="7"/>
  <c r="J25" i="7"/>
  <c r="J61" i="7" s="1"/>
  <c r="J24" i="7"/>
  <c r="J60" i="7" s="1"/>
  <c r="J23" i="7"/>
  <c r="J22" i="7"/>
  <c r="J21" i="7"/>
  <c r="J57" i="7" s="1"/>
  <c r="I19" i="7"/>
  <c r="H19" i="7"/>
  <c r="G19" i="7"/>
  <c r="E19" i="7"/>
  <c r="C19" i="7"/>
  <c r="J19" i="7" s="1"/>
  <c r="J55" i="7" s="1"/>
  <c r="B19" i="7"/>
  <c r="J18" i="7"/>
  <c r="J17" i="7"/>
  <c r="J53" i="7" s="1"/>
  <c r="E75" i="7" s="1"/>
  <c r="J16" i="7"/>
  <c r="J52" i="7" s="1"/>
  <c r="E74" i="7" s="1"/>
  <c r="H15" i="7"/>
  <c r="H20" i="7" s="1"/>
  <c r="H28" i="7" s="1"/>
  <c r="H30" i="7" s="1"/>
  <c r="G15" i="7"/>
  <c r="G20" i="7" s="1"/>
  <c r="B15" i="7"/>
  <c r="I14" i="7"/>
  <c r="H14" i="7"/>
  <c r="G14" i="7"/>
  <c r="E14" i="7"/>
  <c r="C14" i="7"/>
  <c r="B14" i="7"/>
  <c r="J13" i="7"/>
  <c r="J49" i="7" s="1"/>
  <c r="J12" i="7"/>
  <c r="J48" i="7" s="1"/>
  <c r="J11" i="7"/>
  <c r="J47" i="7" s="1"/>
  <c r="J10" i="7"/>
  <c r="I9" i="7"/>
  <c r="H9" i="7"/>
  <c r="G9" i="7"/>
  <c r="E9" i="7"/>
  <c r="C9" i="7"/>
  <c r="J9" i="7" s="1"/>
  <c r="J45" i="7" s="1"/>
  <c r="E71" i="7" s="1"/>
  <c r="B9" i="7"/>
  <c r="E70" i="6"/>
  <c r="A69" i="6"/>
  <c r="H63" i="6"/>
  <c r="F63" i="6"/>
  <c r="E63" i="6"/>
  <c r="D63" i="6"/>
  <c r="G8" i="10" s="1"/>
  <c r="C63" i="6"/>
  <c r="G24" i="10" s="1"/>
  <c r="B63" i="6"/>
  <c r="G21" i="10" s="1"/>
  <c r="J60" i="6"/>
  <c r="J59" i="6"/>
  <c r="H56" i="6"/>
  <c r="H64" i="6" s="1"/>
  <c r="H55" i="6"/>
  <c r="F55" i="6"/>
  <c r="E55" i="6"/>
  <c r="D55" i="6"/>
  <c r="C55" i="6"/>
  <c r="B55" i="6"/>
  <c r="J52" i="6"/>
  <c r="E74" i="6" s="1"/>
  <c r="H51" i="6"/>
  <c r="D51" i="6"/>
  <c r="D56" i="6" s="1"/>
  <c r="F50" i="6"/>
  <c r="E50" i="6"/>
  <c r="D50" i="6"/>
  <c r="C50" i="6"/>
  <c r="C51" i="6" s="1"/>
  <c r="C56" i="6" s="1"/>
  <c r="B50" i="6"/>
  <c r="J47" i="6"/>
  <c r="H45" i="6"/>
  <c r="F45" i="6"/>
  <c r="E45" i="6"/>
  <c r="E51" i="6" s="1"/>
  <c r="E56" i="6" s="1"/>
  <c r="E64" i="6" s="1"/>
  <c r="D45" i="6"/>
  <c r="C45" i="6"/>
  <c r="B45" i="6"/>
  <c r="A33" i="6"/>
  <c r="I27" i="6"/>
  <c r="H27" i="6"/>
  <c r="G27" i="6"/>
  <c r="G11" i="10" s="1"/>
  <c r="E27" i="6"/>
  <c r="G14" i="10" s="1"/>
  <c r="C27" i="6"/>
  <c r="B27" i="6"/>
  <c r="J26" i="6"/>
  <c r="J62" i="6" s="1"/>
  <c r="J25" i="6"/>
  <c r="J61" i="6" s="1"/>
  <c r="J24" i="6"/>
  <c r="J23" i="6"/>
  <c r="J22" i="6"/>
  <c r="J58" i="6" s="1"/>
  <c r="J21" i="6"/>
  <c r="J57" i="6" s="1"/>
  <c r="I19" i="6"/>
  <c r="H19" i="6"/>
  <c r="G19" i="6"/>
  <c r="E19" i="6"/>
  <c r="J19" i="6" s="1"/>
  <c r="J55" i="6" s="1"/>
  <c r="C19" i="6"/>
  <c r="B19" i="6"/>
  <c r="J18" i="6"/>
  <c r="J54" i="6" s="1"/>
  <c r="E76" i="6" s="1"/>
  <c r="J17" i="6"/>
  <c r="J53" i="6" s="1"/>
  <c r="E75" i="6" s="1"/>
  <c r="J16" i="6"/>
  <c r="I15" i="6"/>
  <c r="I20" i="6" s="1"/>
  <c r="I28" i="6" s="1"/>
  <c r="I30" i="6" s="1"/>
  <c r="C15" i="6"/>
  <c r="C20" i="6" s="1"/>
  <c r="C28" i="6" s="1"/>
  <c r="C30" i="6" s="1"/>
  <c r="I14" i="6"/>
  <c r="H14" i="6"/>
  <c r="H15" i="6" s="1"/>
  <c r="H20" i="6" s="1"/>
  <c r="H28" i="6" s="1"/>
  <c r="H30" i="6" s="1"/>
  <c r="G14" i="6"/>
  <c r="E14" i="6"/>
  <c r="C14" i="6"/>
  <c r="B14" i="6"/>
  <c r="J14" i="6" s="1"/>
  <c r="J50" i="6" s="1"/>
  <c r="J13" i="6"/>
  <c r="J49" i="6" s="1"/>
  <c r="J12" i="6"/>
  <c r="J48" i="6" s="1"/>
  <c r="J11" i="6"/>
  <c r="J10" i="6"/>
  <c r="J46" i="6" s="1"/>
  <c r="E73" i="6" s="1"/>
  <c r="I9" i="6"/>
  <c r="H9" i="6"/>
  <c r="G9" i="6"/>
  <c r="E9" i="6"/>
  <c r="J9" i="6" s="1"/>
  <c r="J45" i="6" s="1"/>
  <c r="E71" i="6" s="1"/>
  <c r="C9" i="6"/>
  <c r="B9" i="6"/>
  <c r="E70" i="5"/>
  <c r="A69" i="5"/>
  <c r="H63" i="5"/>
  <c r="F63" i="5"/>
  <c r="E63" i="5"/>
  <c r="D63" i="5"/>
  <c r="F8" i="10" s="1"/>
  <c r="C63" i="5"/>
  <c r="F24" i="10" s="1"/>
  <c r="B63" i="5"/>
  <c r="F21" i="10" s="1"/>
  <c r="J62" i="5"/>
  <c r="J58" i="5"/>
  <c r="H55" i="5"/>
  <c r="F55" i="5"/>
  <c r="E55" i="5"/>
  <c r="D55" i="5"/>
  <c r="C55" i="5"/>
  <c r="B55" i="5"/>
  <c r="J54" i="5"/>
  <c r="E76" i="5" s="1"/>
  <c r="D51" i="5"/>
  <c r="D56" i="5" s="1"/>
  <c r="F50" i="5"/>
  <c r="F51" i="5" s="1"/>
  <c r="F56" i="5" s="1"/>
  <c r="F64" i="5" s="1"/>
  <c r="F66" i="5" s="1"/>
  <c r="E50" i="5"/>
  <c r="E51" i="5" s="1"/>
  <c r="E56" i="5" s="1"/>
  <c r="E64" i="5" s="1"/>
  <c r="E66" i="5" s="1"/>
  <c r="D50" i="5"/>
  <c r="C50" i="5"/>
  <c r="B50" i="5"/>
  <c r="B51" i="5" s="1"/>
  <c r="B56" i="5" s="1"/>
  <c r="J46" i="5"/>
  <c r="E73" i="5" s="1"/>
  <c r="H45" i="5"/>
  <c r="H51" i="5" s="1"/>
  <c r="H56" i="5" s="1"/>
  <c r="H64" i="5" s="1"/>
  <c r="F45" i="5"/>
  <c r="E45" i="5"/>
  <c r="D45" i="5"/>
  <c r="C45" i="5"/>
  <c r="C51" i="5" s="1"/>
  <c r="C56" i="5" s="1"/>
  <c r="B45" i="5"/>
  <c r="A33" i="5"/>
  <c r="I27" i="5"/>
  <c r="H27" i="5"/>
  <c r="G27" i="5"/>
  <c r="E27" i="5"/>
  <c r="F14" i="10" s="1"/>
  <c r="C27" i="5"/>
  <c r="B27" i="5"/>
  <c r="F5" i="10" s="1"/>
  <c r="J26" i="5"/>
  <c r="J25" i="5"/>
  <c r="J61" i="5" s="1"/>
  <c r="J24" i="5"/>
  <c r="J60" i="5" s="1"/>
  <c r="J23" i="5"/>
  <c r="J59" i="5" s="1"/>
  <c r="J22" i="5"/>
  <c r="J21" i="5"/>
  <c r="J57" i="5" s="1"/>
  <c r="I19" i="5"/>
  <c r="H19" i="5"/>
  <c r="G19" i="5"/>
  <c r="E19" i="5"/>
  <c r="J19" i="5" s="1"/>
  <c r="J55" i="5" s="1"/>
  <c r="C19" i="5"/>
  <c r="B19" i="5"/>
  <c r="J18" i="5"/>
  <c r="J17" i="5"/>
  <c r="J53" i="5" s="1"/>
  <c r="E75" i="5" s="1"/>
  <c r="J16" i="5"/>
  <c r="J52" i="5" s="1"/>
  <c r="E74" i="5" s="1"/>
  <c r="G15" i="5"/>
  <c r="G20" i="5" s="1"/>
  <c r="I14" i="5"/>
  <c r="I15" i="5" s="1"/>
  <c r="I20" i="5" s="1"/>
  <c r="I28" i="5" s="1"/>
  <c r="I30" i="5" s="1"/>
  <c r="H14" i="5"/>
  <c r="G14" i="5"/>
  <c r="E14" i="5"/>
  <c r="E15" i="5" s="1"/>
  <c r="E20" i="5" s="1"/>
  <c r="C14" i="5"/>
  <c r="C15" i="5" s="1"/>
  <c r="C20" i="5" s="1"/>
  <c r="C28" i="5" s="1"/>
  <c r="C30" i="5" s="1"/>
  <c r="B14" i="5"/>
  <c r="J13" i="5"/>
  <c r="J49" i="5" s="1"/>
  <c r="J12" i="5"/>
  <c r="J48" i="5" s="1"/>
  <c r="J11" i="5"/>
  <c r="J47" i="5" s="1"/>
  <c r="J10" i="5"/>
  <c r="I9" i="5"/>
  <c r="H9" i="5"/>
  <c r="H15" i="5" s="1"/>
  <c r="H20" i="5" s="1"/>
  <c r="H28" i="5" s="1"/>
  <c r="H30" i="5" s="1"/>
  <c r="G9" i="5"/>
  <c r="E9" i="5"/>
  <c r="C9" i="5"/>
  <c r="B9" i="5"/>
  <c r="B15" i="5" s="1"/>
  <c r="E70" i="4"/>
  <c r="A69" i="4"/>
  <c r="H63" i="4"/>
  <c r="F63" i="4"/>
  <c r="E63" i="4"/>
  <c r="D63" i="4"/>
  <c r="E8" i="10" s="1"/>
  <c r="C63" i="4"/>
  <c r="E24" i="10" s="1"/>
  <c r="B63" i="4"/>
  <c r="E21" i="10" s="1"/>
  <c r="J59" i="4"/>
  <c r="H55" i="4"/>
  <c r="F55" i="4"/>
  <c r="E55" i="4"/>
  <c r="D55" i="4"/>
  <c r="C55" i="4"/>
  <c r="B55" i="4"/>
  <c r="H51" i="4"/>
  <c r="H56" i="4" s="1"/>
  <c r="H64" i="4" s="1"/>
  <c r="F50" i="4"/>
  <c r="E50" i="4"/>
  <c r="D50" i="4"/>
  <c r="C50" i="4"/>
  <c r="C51" i="4" s="1"/>
  <c r="C56" i="4" s="1"/>
  <c r="B50" i="4"/>
  <c r="J47" i="4"/>
  <c r="H45" i="4"/>
  <c r="F45" i="4"/>
  <c r="E45" i="4"/>
  <c r="E51" i="4" s="1"/>
  <c r="E56" i="4" s="1"/>
  <c r="E64" i="4" s="1"/>
  <c r="D45" i="4"/>
  <c r="D51" i="4" s="1"/>
  <c r="D56" i="4" s="1"/>
  <c r="C45" i="4"/>
  <c r="B45" i="4"/>
  <c r="A33" i="4"/>
  <c r="I27" i="4"/>
  <c r="H27" i="4"/>
  <c r="G27" i="4"/>
  <c r="E27" i="4"/>
  <c r="E14" i="10" s="1"/>
  <c r="C27" i="4"/>
  <c r="B27" i="4"/>
  <c r="J26" i="4"/>
  <c r="J62" i="4" s="1"/>
  <c r="J25" i="4"/>
  <c r="J61" i="4" s="1"/>
  <c r="J24" i="4"/>
  <c r="J60" i="4" s="1"/>
  <c r="J23" i="4"/>
  <c r="J22" i="4"/>
  <c r="J58" i="4" s="1"/>
  <c r="J21" i="4"/>
  <c r="J57" i="4" s="1"/>
  <c r="I19" i="4"/>
  <c r="H19" i="4"/>
  <c r="G19" i="4"/>
  <c r="E19" i="4"/>
  <c r="C19" i="4"/>
  <c r="J19" i="4" s="1"/>
  <c r="J55" i="4" s="1"/>
  <c r="B19" i="4"/>
  <c r="J18" i="4"/>
  <c r="J54" i="4" s="1"/>
  <c r="E76" i="4" s="1"/>
  <c r="J17" i="4"/>
  <c r="J53" i="4" s="1"/>
  <c r="E75" i="4" s="1"/>
  <c r="J16" i="4"/>
  <c r="J52" i="4" s="1"/>
  <c r="E74" i="4" s="1"/>
  <c r="I15" i="4"/>
  <c r="I20" i="4" s="1"/>
  <c r="I28" i="4" s="1"/>
  <c r="I30" i="4" s="1"/>
  <c r="B15" i="4"/>
  <c r="B20" i="4" s="1"/>
  <c r="I14" i="4"/>
  <c r="H14" i="4"/>
  <c r="H15" i="4" s="1"/>
  <c r="H20" i="4" s="1"/>
  <c r="H28" i="4" s="1"/>
  <c r="H30" i="4" s="1"/>
  <c r="G14" i="4"/>
  <c r="G15" i="4" s="1"/>
  <c r="G20" i="4" s="1"/>
  <c r="E14" i="4"/>
  <c r="C14" i="4"/>
  <c r="B14" i="4"/>
  <c r="J14" i="4" s="1"/>
  <c r="J50" i="4" s="1"/>
  <c r="J13" i="4"/>
  <c r="J49" i="4" s="1"/>
  <c r="J12" i="4"/>
  <c r="J48" i="4" s="1"/>
  <c r="J11" i="4"/>
  <c r="J10" i="4"/>
  <c r="J46" i="4" s="1"/>
  <c r="E73" i="4" s="1"/>
  <c r="I9" i="4"/>
  <c r="H9" i="4"/>
  <c r="G9" i="4"/>
  <c r="E9" i="4"/>
  <c r="J9" i="4" s="1"/>
  <c r="J45" i="4" s="1"/>
  <c r="E71" i="4" s="1"/>
  <c r="C9" i="4"/>
  <c r="C15" i="4" s="1"/>
  <c r="C20" i="4" s="1"/>
  <c r="C28" i="4" s="1"/>
  <c r="C30" i="4" s="1"/>
  <c r="B9" i="4"/>
  <c r="E70" i="3"/>
  <c r="A69" i="3"/>
  <c r="H63" i="3"/>
  <c r="F63" i="3"/>
  <c r="E63" i="3"/>
  <c r="D63" i="3"/>
  <c r="D8" i="10" s="1"/>
  <c r="C63" i="3"/>
  <c r="D24" i="10" s="1"/>
  <c r="B63" i="3"/>
  <c r="D21" i="10" s="1"/>
  <c r="H56" i="3"/>
  <c r="H64" i="3" s="1"/>
  <c r="H55" i="3"/>
  <c r="F55" i="3"/>
  <c r="E55" i="3"/>
  <c r="D55" i="3"/>
  <c r="C55" i="3"/>
  <c r="B55" i="3"/>
  <c r="D51" i="3"/>
  <c r="D56" i="3" s="1"/>
  <c r="F50" i="3"/>
  <c r="F51" i="3" s="1"/>
  <c r="F56" i="3" s="1"/>
  <c r="F64" i="3" s="1"/>
  <c r="E50" i="3"/>
  <c r="D50" i="3"/>
  <c r="C50" i="3"/>
  <c r="B50" i="3"/>
  <c r="B51" i="3" s="1"/>
  <c r="B56" i="3" s="1"/>
  <c r="H45" i="3"/>
  <c r="H51" i="3" s="1"/>
  <c r="F45" i="3"/>
  <c r="E45" i="3"/>
  <c r="E51" i="3" s="1"/>
  <c r="E56" i="3" s="1"/>
  <c r="E64" i="3" s="1"/>
  <c r="D45" i="3"/>
  <c r="C45" i="3"/>
  <c r="B45" i="3"/>
  <c r="A33" i="3"/>
  <c r="I27" i="3"/>
  <c r="H27" i="3"/>
  <c r="G27" i="3"/>
  <c r="D11" i="10" s="1"/>
  <c r="E27" i="3"/>
  <c r="D14" i="10" s="1"/>
  <c r="C27" i="3"/>
  <c r="B27" i="3"/>
  <c r="D5" i="10" s="1"/>
  <c r="J26" i="3"/>
  <c r="J62" i="3" s="1"/>
  <c r="J25" i="3"/>
  <c r="J61" i="3" s="1"/>
  <c r="J24" i="3"/>
  <c r="J60" i="3" s="1"/>
  <c r="J23" i="3"/>
  <c r="J59" i="3" s="1"/>
  <c r="J22" i="3"/>
  <c r="J58" i="3" s="1"/>
  <c r="J21" i="3"/>
  <c r="J57" i="3" s="1"/>
  <c r="I19" i="3"/>
  <c r="H19" i="3"/>
  <c r="G19" i="3"/>
  <c r="E19" i="3"/>
  <c r="C19" i="3"/>
  <c r="B19" i="3"/>
  <c r="J19" i="3" s="1"/>
  <c r="J55" i="3" s="1"/>
  <c r="J18" i="3"/>
  <c r="J54" i="3" s="1"/>
  <c r="E76" i="3" s="1"/>
  <c r="J17" i="3"/>
  <c r="J53" i="3" s="1"/>
  <c r="E75" i="3" s="1"/>
  <c r="J16" i="3"/>
  <c r="J52" i="3" s="1"/>
  <c r="E74" i="3" s="1"/>
  <c r="I15" i="3"/>
  <c r="I20" i="3" s="1"/>
  <c r="I28" i="3" s="1"/>
  <c r="I30" i="3" s="1"/>
  <c r="C15" i="3"/>
  <c r="C20" i="3" s="1"/>
  <c r="C28" i="3" s="1"/>
  <c r="C30" i="3" s="1"/>
  <c r="I14" i="3"/>
  <c r="H14" i="3"/>
  <c r="H15" i="3" s="1"/>
  <c r="H20" i="3" s="1"/>
  <c r="H28" i="3" s="1"/>
  <c r="H30" i="3" s="1"/>
  <c r="G14" i="3"/>
  <c r="E14" i="3"/>
  <c r="C14" i="3"/>
  <c r="B14" i="3"/>
  <c r="J13" i="3"/>
  <c r="J49" i="3" s="1"/>
  <c r="J12" i="3"/>
  <c r="J48" i="3" s="1"/>
  <c r="J11" i="3"/>
  <c r="J47" i="3" s="1"/>
  <c r="J10" i="3"/>
  <c r="J46" i="3" s="1"/>
  <c r="E73" i="3" s="1"/>
  <c r="I9" i="3"/>
  <c r="H9" i="3"/>
  <c r="G9" i="3"/>
  <c r="E9" i="3"/>
  <c r="E15" i="3" s="1"/>
  <c r="E20" i="3" s="1"/>
  <c r="C9" i="3"/>
  <c r="B9" i="3"/>
  <c r="E70" i="2"/>
  <c r="A69" i="2"/>
  <c r="H63" i="2"/>
  <c r="F63" i="2"/>
  <c r="E63" i="2"/>
  <c r="D63" i="2"/>
  <c r="C8" i="10" s="1"/>
  <c r="C63" i="2"/>
  <c r="C24" i="10" s="1"/>
  <c r="B63" i="2"/>
  <c r="C21" i="10" s="1"/>
  <c r="J62" i="2"/>
  <c r="J59" i="2"/>
  <c r="J58" i="2"/>
  <c r="H56" i="2"/>
  <c r="H64" i="2" s="1"/>
  <c r="H65" i="2" s="1"/>
  <c r="C56" i="2"/>
  <c r="H55" i="2"/>
  <c r="F55" i="2"/>
  <c r="E55" i="2"/>
  <c r="D55" i="2"/>
  <c r="C55" i="2"/>
  <c r="B55" i="2"/>
  <c r="J54" i="2"/>
  <c r="E76" i="2" s="1"/>
  <c r="H51" i="2"/>
  <c r="D51" i="2"/>
  <c r="D56" i="2" s="1"/>
  <c r="C51" i="2"/>
  <c r="F50" i="2"/>
  <c r="F51" i="2" s="1"/>
  <c r="F56" i="2" s="1"/>
  <c r="F64" i="2" s="1"/>
  <c r="E50" i="2"/>
  <c r="E51" i="2" s="1"/>
  <c r="E56" i="2" s="1"/>
  <c r="E64" i="2" s="1"/>
  <c r="D50" i="2"/>
  <c r="C50" i="2"/>
  <c r="B50" i="2"/>
  <c r="B51" i="2" s="1"/>
  <c r="B56" i="2" s="1"/>
  <c r="J46" i="2"/>
  <c r="E73" i="2" s="1"/>
  <c r="H45" i="2"/>
  <c r="F45" i="2"/>
  <c r="E45" i="2"/>
  <c r="D45" i="2"/>
  <c r="C45" i="2"/>
  <c r="B45" i="2"/>
  <c r="A33" i="2"/>
  <c r="I27" i="2"/>
  <c r="H27" i="2"/>
  <c r="G27" i="2"/>
  <c r="E27" i="2"/>
  <c r="C14" i="10" s="1"/>
  <c r="C27" i="2"/>
  <c r="B27" i="2"/>
  <c r="J26" i="2"/>
  <c r="J25" i="2"/>
  <c r="J61" i="2" s="1"/>
  <c r="J24" i="2"/>
  <c r="J60" i="2" s="1"/>
  <c r="J23" i="2"/>
  <c r="J22" i="2"/>
  <c r="J21" i="2"/>
  <c r="J57" i="2" s="1"/>
  <c r="I19" i="2"/>
  <c r="H19" i="2"/>
  <c r="G19" i="2"/>
  <c r="E19" i="2"/>
  <c r="J19" i="2" s="1"/>
  <c r="J55" i="2" s="1"/>
  <c r="C19" i="2"/>
  <c r="B19" i="2"/>
  <c r="J18" i="2"/>
  <c r="J17" i="2"/>
  <c r="J53" i="2" s="1"/>
  <c r="E75" i="2" s="1"/>
  <c r="J16" i="2"/>
  <c r="J52" i="2" s="1"/>
  <c r="E74" i="2" s="1"/>
  <c r="H15" i="2"/>
  <c r="H20" i="2" s="1"/>
  <c r="H28" i="2" s="1"/>
  <c r="H30" i="2" s="1"/>
  <c r="B15" i="2"/>
  <c r="I14" i="2"/>
  <c r="I15" i="2" s="1"/>
  <c r="I20" i="2" s="1"/>
  <c r="I28" i="2" s="1"/>
  <c r="I30" i="2" s="1"/>
  <c r="H14" i="2"/>
  <c r="G14" i="2"/>
  <c r="G15" i="2" s="1"/>
  <c r="G20" i="2" s="1"/>
  <c r="E14" i="2"/>
  <c r="J14" i="2" s="1"/>
  <c r="J50" i="2" s="1"/>
  <c r="C14" i="2"/>
  <c r="C15" i="2" s="1"/>
  <c r="C20" i="2" s="1"/>
  <c r="C28" i="2" s="1"/>
  <c r="C30" i="2" s="1"/>
  <c r="B14" i="2"/>
  <c r="J13" i="2"/>
  <c r="J49" i="2" s="1"/>
  <c r="J12" i="2"/>
  <c r="J48" i="2" s="1"/>
  <c r="J11" i="2"/>
  <c r="J47" i="2" s="1"/>
  <c r="J10" i="2"/>
  <c r="J9" i="2"/>
  <c r="J45" i="2" s="1"/>
  <c r="I9" i="2"/>
  <c r="H9" i="2"/>
  <c r="G9" i="2"/>
  <c r="E9" i="2"/>
  <c r="C9" i="2"/>
  <c r="B9" i="2"/>
  <c r="E70" i="1"/>
  <c r="A69" i="1"/>
  <c r="H63" i="1"/>
  <c r="F63" i="1"/>
  <c r="E63" i="1"/>
  <c r="D63" i="1"/>
  <c r="B8" i="10" s="1"/>
  <c r="C63" i="1"/>
  <c r="B24" i="10" s="1"/>
  <c r="B63" i="1"/>
  <c r="B21" i="10" s="1"/>
  <c r="H55" i="1"/>
  <c r="F55" i="1"/>
  <c r="E55" i="1"/>
  <c r="D55" i="1"/>
  <c r="C55" i="1"/>
  <c r="B55" i="1"/>
  <c r="E51" i="1"/>
  <c r="E56" i="1" s="1"/>
  <c r="E64" i="1" s="1"/>
  <c r="D51" i="1"/>
  <c r="D56" i="1" s="1"/>
  <c r="B7" i="10" s="1"/>
  <c r="F50" i="1"/>
  <c r="E50" i="1"/>
  <c r="D50" i="1"/>
  <c r="C50" i="1"/>
  <c r="C51" i="1" s="1"/>
  <c r="C56" i="1" s="1"/>
  <c r="B50" i="1"/>
  <c r="H45" i="1"/>
  <c r="H51" i="1" s="1"/>
  <c r="F45" i="1"/>
  <c r="E45" i="1"/>
  <c r="D45" i="1"/>
  <c r="C45" i="1"/>
  <c r="B45" i="1"/>
  <c r="D69" i="1"/>
  <c r="A33" i="1"/>
  <c r="I27" i="1"/>
  <c r="H27" i="1"/>
  <c r="G27" i="1"/>
  <c r="E27" i="1"/>
  <c r="B14" i="10" s="1"/>
  <c r="C27" i="1"/>
  <c r="B27" i="1"/>
  <c r="J26" i="1"/>
  <c r="J62" i="1" s="1"/>
  <c r="J25" i="1"/>
  <c r="J61" i="1" s="1"/>
  <c r="J24" i="1"/>
  <c r="J60" i="1" s="1"/>
  <c r="J23" i="1"/>
  <c r="J59" i="1" s="1"/>
  <c r="J22" i="1"/>
  <c r="J58" i="1" s="1"/>
  <c r="J21" i="1"/>
  <c r="J57" i="1" s="1"/>
  <c r="I19" i="1"/>
  <c r="H19" i="1"/>
  <c r="G19" i="1"/>
  <c r="E19" i="1"/>
  <c r="C19" i="1"/>
  <c r="B19" i="1"/>
  <c r="J18" i="1"/>
  <c r="J54" i="1" s="1"/>
  <c r="E76" i="1" s="1"/>
  <c r="J17" i="1"/>
  <c r="J53" i="1" s="1"/>
  <c r="E75" i="1" s="1"/>
  <c r="J16" i="1"/>
  <c r="J52" i="1" s="1"/>
  <c r="E74" i="1" s="1"/>
  <c r="I14" i="1"/>
  <c r="H14" i="1"/>
  <c r="H15" i="1" s="1"/>
  <c r="G14" i="1"/>
  <c r="G15" i="1" s="1"/>
  <c r="G20" i="1" s="1"/>
  <c r="E14" i="1"/>
  <c r="C14" i="1"/>
  <c r="C15" i="1" s="1"/>
  <c r="C20" i="1" s="1"/>
  <c r="C28" i="1" s="1"/>
  <c r="C30" i="1" s="1"/>
  <c r="B14" i="1"/>
  <c r="J13" i="1"/>
  <c r="J49" i="1" s="1"/>
  <c r="J12" i="1"/>
  <c r="J48" i="1" s="1"/>
  <c r="J11" i="1"/>
  <c r="J47" i="1" s="1"/>
  <c r="J10" i="1"/>
  <c r="J46" i="1" s="1"/>
  <c r="E73" i="1" s="1"/>
  <c r="I9" i="1"/>
  <c r="I15" i="1" s="1"/>
  <c r="I20" i="1" s="1"/>
  <c r="I28" i="1" s="1"/>
  <c r="I30" i="1" s="1"/>
  <c r="H9" i="1"/>
  <c r="G9" i="1"/>
  <c r="E9" i="1"/>
  <c r="C9" i="1"/>
  <c r="B9" i="1"/>
  <c r="E63" i="9" l="1"/>
  <c r="H9" i="9"/>
  <c r="I24" i="10"/>
  <c r="J24" i="10" s="1"/>
  <c r="C9" i="9"/>
  <c r="I9" i="9"/>
  <c r="B14" i="9"/>
  <c r="H14" i="9"/>
  <c r="D45" i="9"/>
  <c r="D55" i="9"/>
  <c r="I21" i="10"/>
  <c r="J21" i="10" s="1"/>
  <c r="I8" i="10"/>
  <c r="J8" i="10" s="1"/>
  <c r="J22" i="9"/>
  <c r="J58" i="9" s="1"/>
  <c r="J26" i="9"/>
  <c r="J62" i="9" s="1"/>
  <c r="E45" i="9"/>
  <c r="F80" i="9"/>
  <c r="B15" i="1"/>
  <c r="B9" i="9"/>
  <c r="K4" i="11"/>
  <c r="J3" i="11"/>
  <c r="H56" i="1"/>
  <c r="H64" i="1" s="1"/>
  <c r="H15" i="9"/>
  <c r="E9" i="9"/>
  <c r="C14" i="9"/>
  <c r="I14" i="9"/>
  <c r="B19" i="9"/>
  <c r="H19" i="9"/>
  <c r="J19" i="9" s="1"/>
  <c r="J18" i="9"/>
  <c r="J54" i="9" s="1"/>
  <c r="E76" i="9" s="1"/>
  <c r="B27" i="9"/>
  <c r="H27" i="9"/>
  <c r="J24" i="9"/>
  <c r="J60" i="9" s="1"/>
  <c r="J25" i="9"/>
  <c r="J61" i="9" s="1"/>
  <c r="B45" i="9"/>
  <c r="B63" i="9"/>
  <c r="F63" i="9"/>
  <c r="J9" i="1"/>
  <c r="J45" i="1" s="1"/>
  <c r="E71" i="1" s="1"/>
  <c r="H20" i="1"/>
  <c r="H28" i="1" s="1"/>
  <c r="H30" i="1" s="1"/>
  <c r="J10" i="9"/>
  <c r="J46" i="9" s="1"/>
  <c r="E73" i="9" s="1"/>
  <c r="F81" i="9" s="1"/>
  <c r="J19" i="1"/>
  <c r="J55" i="1" s="1"/>
  <c r="E15" i="1"/>
  <c r="E20" i="1" s="1"/>
  <c r="B11" i="10"/>
  <c r="B51" i="1"/>
  <c r="B56" i="1" s="1"/>
  <c r="B64" i="1" s="1"/>
  <c r="B66" i="1" s="1"/>
  <c r="F51" i="1"/>
  <c r="F56" i="1" s="1"/>
  <c r="F64" i="1" s="1"/>
  <c r="E14" i="9"/>
  <c r="J12" i="9"/>
  <c r="J48" i="9" s="1"/>
  <c r="J13" i="9"/>
  <c r="J49" i="9" s="1"/>
  <c r="C27" i="9"/>
  <c r="I27" i="9"/>
  <c r="C45" i="9"/>
  <c r="C51" i="9" s="1"/>
  <c r="H45" i="9"/>
  <c r="H51" i="9" s="1"/>
  <c r="B50" i="9"/>
  <c r="F50" i="9"/>
  <c r="F51" i="9" s="1"/>
  <c r="B55" i="9"/>
  <c r="F55" i="9"/>
  <c r="C20" i="10"/>
  <c r="B64" i="2"/>
  <c r="B66" i="2" s="1"/>
  <c r="F66" i="2"/>
  <c r="F65" i="2"/>
  <c r="B23" i="10"/>
  <c r="C64" i="1"/>
  <c r="C66" i="1" s="1"/>
  <c r="H65" i="1"/>
  <c r="H66" i="1"/>
  <c r="E65" i="1"/>
  <c r="B10" i="10"/>
  <c r="G28" i="1"/>
  <c r="G30" i="1" s="1"/>
  <c r="B20" i="1"/>
  <c r="J15" i="1"/>
  <c r="C10" i="10"/>
  <c r="G28" i="2"/>
  <c r="G30" i="2" s="1"/>
  <c r="C7" i="10"/>
  <c r="D64" i="2"/>
  <c r="D66" i="2" s="1"/>
  <c r="B13" i="10"/>
  <c r="E28" i="1"/>
  <c r="E30" i="1" s="1"/>
  <c r="B20" i="10"/>
  <c r="F65" i="1"/>
  <c r="F66" i="1" s="1"/>
  <c r="E65" i="2"/>
  <c r="E66" i="2" s="1"/>
  <c r="D64" i="1"/>
  <c r="D66" i="1" s="1"/>
  <c r="B5" i="10"/>
  <c r="B20" i="2"/>
  <c r="C11" i="10"/>
  <c r="J9" i="3"/>
  <c r="J45" i="3" s="1"/>
  <c r="E10" i="10"/>
  <c r="G28" i="4"/>
  <c r="G30" i="4" s="1"/>
  <c r="G23" i="10"/>
  <c r="C64" i="6"/>
  <c r="C66" i="6" s="1"/>
  <c r="G7" i="10"/>
  <c r="D64" i="6"/>
  <c r="D66" i="6" s="1"/>
  <c r="H20" i="10"/>
  <c r="B64" i="7"/>
  <c r="B66" i="7" s="1"/>
  <c r="J14" i="1"/>
  <c r="J50" i="1" s="1"/>
  <c r="E15" i="2"/>
  <c r="E20" i="2" s="1"/>
  <c r="C5" i="10"/>
  <c r="E71" i="2"/>
  <c r="G15" i="3"/>
  <c r="G20" i="3" s="1"/>
  <c r="E7" i="10"/>
  <c r="D64" i="4"/>
  <c r="D66" i="4" s="1"/>
  <c r="F20" i="10"/>
  <c r="B64" i="5"/>
  <c r="B66" i="5" s="1"/>
  <c r="H65" i="6"/>
  <c r="H66" i="6" s="1"/>
  <c r="G28" i="7"/>
  <c r="G30" i="7" s="1"/>
  <c r="H23" i="10"/>
  <c r="C64" i="7"/>
  <c r="C66" i="7" s="1"/>
  <c r="I14" i="10"/>
  <c r="J14" i="10" s="1"/>
  <c r="J27" i="1"/>
  <c r="J63" i="1" s="1"/>
  <c r="E77" i="1" s="1"/>
  <c r="E78" i="1" s="1"/>
  <c r="D13" i="10"/>
  <c r="E28" i="3"/>
  <c r="E30" i="3" s="1"/>
  <c r="B15" i="3"/>
  <c r="J14" i="3"/>
  <c r="J50" i="3" s="1"/>
  <c r="D20" i="10"/>
  <c r="B64" i="3"/>
  <c r="B66" i="3" s="1"/>
  <c r="F65" i="3"/>
  <c r="F66" i="3"/>
  <c r="H65" i="3"/>
  <c r="H66" i="3" s="1"/>
  <c r="E65" i="4"/>
  <c r="E66" i="4"/>
  <c r="C17" i="10"/>
  <c r="J27" i="2"/>
  <c r="J63" i="2" s="1"/>
  <c r="E77" i="2" s="1"/>
  <c r="E78" i="2" s="1"/>
  <c r="C23" i="10"/>
  <c r="C64" i="2"/>
  <c r="C66" i="2" s="1"/>
  <c r="H66" i="2"/>
  <c r="E65" i="3"/>
  <c r="E66" i="3" s="1"/>
  <c r="D7" i="10"/>
  <c r="D64" i="3"/>
  <c r="D66" i="3" s="1"/>
  <c r="E4" i="10"/>
  <c r="B28" i="4"/>
  <c r="E23" i="10"/>
  <c r="C64" i="4"/>
  <c r="C66" i="4" s="1"/>
  <c r="H65" i="4"/>
  <c r="H66" i="4" s="1"/>
  <c r="B20" i="5"/>
  <c r="J15" i="5"/>
  <c r="J51" i="5" s="1"/>
  <c r="F13" i="10"/>
  <c r="E28" i="5"/>
  <c r="E30" i="5" s="1"/>
  <c r="F10" i="10"/>
  <c r="G28" i="5"/>
  <c r="G30" i="5" s="1"/>
  <c r="F23" i="10"/>
  <c r="C64" i="5"/>
  <c r="C66" i="5" s="1"/>
  <c r="H65" i="5"/>
  <c r="H66" i="5" s="1"/>
  <c r="E65" i="6"/>
  <c r="E66" i="6" s="1"/>
  <c r="H7" i="10"/>
  <c r="D64" i="7"/>
  <c r="D66" i="7" s="1"/>
  <c r="C51" i="3"/>
  <c r="C56" i="3" s="1"/>
  <c r="J9" i="5"/>
  <c r="J45" i="5" s="1"/>
  <c r="J27" i="5"/>
  <c r="J63" i="5" s="1"/>
  <c r="E77" i="5" s="1"/>
  <c r="E78" i="5" s="1"/>
  <c r="E15" i="6"/>
  <c r="E20" i="6" s="1"/>
  <c r="B15" i="6"/>
  <c r="E15" i="7"/>
  <c r="E20" i="7" s="1"/>
  <c r="J14" i="7"/>
  <c r="J50" i="7" s="1"/>
  <c r="D17" i="10"/>
  <c r="J27" i="3"/>
  <c r="J63" i="3" s="1"/>
  <c r="E77" i="3" s="1"/>
  <c r="E78" i="3" s="1"/>
  <c r="E71" i="3"/>
  <c r="E15" i="4"/>
  <c r="E20" i="4" s="1"/>
  <c r="B51" i="4"/>
  <c r="B56" i="4" s="1"/>
  <c r="F51" i="4"/>
  <c r="F56" i="4" s="1"/>
  <c r="F64" i="4" s="1"/>
  <c r="F11" i="10"/>
  <c r="F17" i="10" s="1"/>
  <c r="G15" i="6"/>
  <c r="G20" i="6" s="1"/>
  <c r="J27" i="6"/>
  <c r="J63" i="6" s="1"/>
  <c r="E77" i="6" s="1"/>
  <c r="E78" i="6" s="1"/>
  <c r="B20" i="7"/>
  <c r="E78" i="7"/>
  <c r="J27" i="4"/>
  <c r="J63" i="4" s="1"/>
  <c r="E77" i="4" s="1"/>
  <c r="E78" i="4" s="1"/>
  <c r="F7" i="10"/>
  <c r="D64" i="5"/>
  <c r="D66" i="5" s="1"/>
  <c r="E71" i="5"/>
  <c r="E11" i="10"/>
  <c r="J14" i="5"/>
  <c r="J50" i="5" s="1"/>
  <c r="B51" i="6"/>
  <c r="B56" i="6" s="1"/>
  <c r="F51" i="6"/>
  <c r="F56" i="6" s="1"/>
  <c r="F64" i="6" s="1"/>
  <c r="C15" i="7"/>
  <c r="C20" i="7" s="1"/>
  <c r="C28" i="7" s="1"/>
  <c r="C30" i="7" s="1"/>
  <c r="I15" i="7"/>
  <c r="I20" i="7" s="1"/>
  <c r="I28" i="7" s="1"/>
  <c r="I30" i="7" s="1"/>
  <c r="J11" i="9"/>
  <c r="J47" i="9" s="1"/>
  <c r="E27" i="9"/>
  <c r="C55" i="9"/>
  <c r="H55" i="9"/>
  <c r="I27" i="10"/>
  <c r="J27" i="10" s="1"/>
  <c r="E5" i="10"/>
  <c r="G5" i="10"/>
  <c r="G17" i="10" s="1"/>
  <c r="H11" i="10"/>
  <c r="J9" i="9"/>
  <c r="J45" i="9" s="1"/>
  <c r="G15" i="9"/>
  <c r="G20" i="9" s="1"/>
  <c r="J16" i="9"/>
  <c r="J52" i="9" s="1"/>
  <c r="E74" i="9" s="1"/>
  <c r="G27" i="9"/>
  <c r="D50" i="9"/>
  <c r="D51" i="9" s="1"/>
  <c r="D56" i="9" s="1"/>
  <c r="D64" i="9" s="1"/>
  <c r="D66" i="9" s="1"/>
  <c r="E70" i="9"/>
  <c r="H5" i="10"/>
  <c r="J23" i="9"/>
  <c r="J59" i="9" s="1"/>
  <c r="E50" i="9"/>
  <c r="E51" i="9" s="1"/>
  <c r="E56" i="9" s="1"/>
  <c r="E64" i="9" s="1"/>
  <c r="C63" i="9"/>
  <c r="H63" i="9"/>
  <c r="J21" i="9"/>
  <c r="J57" i="9" s="1"/>
  <c r="H17" i="10" l="1"/>
  <c r="B51" i="9"/>
  <c r="E15" i="9"/>
  <c r="E20" i="9" s="1"/>
  <c r="H56" i="9"/>
  <c r="H64" i="9" s="1"/>
  <c r="B17" i="10"/>
  <c r="I11" i="10"/>
  <c r="J11" i="10" s="1"/>
  <c r="C15" i="9"/>
  <c r="C20" i="9" s="1"/>
  <c r="C28" i="9" s="1"/>
  <c r="C30" i="9" s="1"/>
  <c r="J14" i="9"/>
  <c r="J50" i="9" s="1"/>
  <c r="J67" i="9"/>
  <c r="B15" i="9"/>
  <c r="I15" i="9"/>
  <c r="I20" i="9" s="1"/>
  <c r="I28" i="9" s="1"/>
  <c r="I30" i="9" s="1"/>
  <c r="I7" i="10"/>
  <c r="J7" i="10" s="1"/>
  <c r="B56" i="9"/>
  <c r="B64" i="9" s="1"/>
  <c r="B66" i="9" s="1"/>
  <c r="J4" i="11"/>
  <c r="I3" i="11"/>
  <c r="H20" i="9"/>
  <c r="H28" i="9" s="1"/>
  <c r="H30" i="9" s="1"/>
  <c r="C56" i="9"/>
  <c r="C64" i="9" s="1"/>
  <c r="C66" i="9" s="1"/>
  <c r="F56" i="9"/>
  <c r="F64" i="9" s="1"/>
  <c r="G28" i="9"/>
  <c r="G30" i="9" s="1"/>
  <c r="J27" i="9"/>
  <c r="J63" i="9" s="1"/>
  <c r="E77" i="9" s="1"/>
  <c r="E78" i="9" s="1"/>
  <c r="J51" i="1"/>
  <c r="B20" i="9"/>
  <c r="J15" i="9"/>
  <c r="J51" i="9" s="1"/>
  <c r="G20" i="10"/>
  <c r="G25" i="10" s="1"/>
  <c r="B64" i="6"/>
  <c r="B66" i="6" s="1"/>
  <c r="E17" i="10"/>
  <c r="H4" i="10"/>
  <c r="B28" i="7"/>
  <c r="J20" i="7"/>
  <c r="J56" i="7" s="1"/>
  <c r="G10" i="10"/>
  <c r="G28" i="6"/>
  <c r="G30" i="6" s="1"/>
  <c r="E13" i="10"/>
  <c r="E16" i="10" s="1"/>
  <c r="E18" i="10" s="1"/>
  <c r="E28" i="4"/>
  <c r="E30" i="4" s="1"/>
  <c r="B30" i="4"/>
  <c r="J30" i="4" s="1"/>
  <c r="H25" i="10"/>
  <c r="J15" i="2"/>
  <c r="J51" i="2" s="1"/>
  <c r="H65" i="9"/>
  <c r="F82" i="9" s="1"/>
  <c r="F83" i="9" s="1"/>
  <c r="E28" i="9"/>
  <c r="E30" i="9" s="1"/>
  <c r="J15" i="4"/>
  <c r="J51" i="4" s="1"/>
  <c r="J15" i="7"/>
  <c r="J51" i="7" s="1"/>
  <c r="J55" i="9"/>
  <c r="H13" i="10"/>
  <c r="E28" i="7"/>
  <c r="E30" i="7" s="1"/>
  <c r="J15" i="3"/>
  <c r="J51" i="3" s="1"/>
  <c r="B20" i="3"/>
  <c r="C4" i="10"/>
  <c r="J20" i="2"/>
  <c r="J56" i="2" s="1"/>
  <c r="B28" i="2"/>
  <c r="B25" i="10"/>
  <c r="B4" i="10"/>
  <c r="B28" i="1"/>
  <c r="J20" i="1"/>
  <c r="J56" i="1" s="1"/>
  <c r="E65" i="9"/>
  <c r="E66" i="9" s="1"/>
  <c r="E71" i="9"/>
  <c r="F66" i="4"/>
  <c r="F65" i="4"/>
  <c r="J15" i="6"/>
  <c r="J51" i="6" s="1"/>
  <c r="B20" i="6"/>
  <c r="F4" i="10"/>
  <c r="F16" i="10" s="1"/>
  <c r="F18" i="10" s="1"/>
  <c r="B28" i="5"/>
  <c r="J20" i="5"/>
  <c r="J56" i="5" s="1"/>
  <c r="I17" i="10"/>
  <c r="J17" i="10" s="1"/>
  <c r="I5" i="10"/>
  <c r="J5" i="10" s="1"/>
  <c r="E66" i="1"/>
  <c r="F65" i="6"/>
  <c r="F66" i="6" s="1"/>
  <c r="E20" i="10"/>
  <c r="E25" i="10" s="1"/>
  <c r="B64" i="4"/>
  <c r="B66" i="4" s="1"/>
  <c r="G13" i="10"/>
  <c r="E28" i="6"/>
  <c r="E30" i="6" s="1"/>
  <c r="D23" i="10"/>
  <c r="D25" i="10" s="1"/>
  <c r="C64" i="3"/>
  <c r="C66" i="3" s="1"/>
  <c r="J20" i="4"/>
  <c r="J56" i="4" s="1"/>
  <c r="H10" i="10"/>
  <c r="F25" i="10"/>
  <c r="D10" i="10"/>
  <c r="G28" i="3"/>
  <c r="G30" i="3" s="1"/>
  <c r="C13" i="10"/>
  <c r="C16" i="10" s="1"/>
  <c r="C18" i="10" s="1"/>
  <c r="E28" i="2"/>
  <c r="E30" i="2" s="1"/>
  <c r="F65" i="9"/>
  <c r="F66" i="9" s="1"/>
  <c r="B16" i="10"/>
  <c r="C25" i="10"/>
  <c r="I23" i="10" l="1"/>
  <c r="J23" i="10" s="1"/>
  <c r="I4" i="11"/>
  <c r="H3" i="11"/>
  <c r="J20" i="6"/>
  <c r="J56" i="6" s="1"/>
  <c r="G4" i="10"/>
  <c r="G16" i="10" s="1"/>
  <c r="G18" i="10" s="1"/>
  <c r="B28" i="6"/>
  <c r="B30" i="1"/>
  <c r="J30" i="1" s="1"/>
  <c r="J66" i="1" s="1"/>
  <c r="J28" i="1"/>
  <c r="J64" i="1" s="1"/>
  <c r="B30" i="2"/>
  <c r="J30" i="2" s="1"/>
  <c r="J66" i="2" s="1"/>
  <c r="J28" i="2"/>
  <c r="J64" i="2" s="1"/>
  <c r="J66" i="4"/>
  <c r="B30" i="7"/>
  <c r="J30" i="7" s="1"/>
  <c r="J66" i="7" s="1"/>
  <c r="J28" i="7"/>
  <c r="J64" i="7" s="1"/>
  <c r="J28" i="4"/>
  <c r="J64" i="4" s="1"/>
  <c r="I10" i="10"/>
  <c r="J10" i="10" s="1"/>
  <c r="I13" i="10"/>
  <c r="J13" i="10" s="1"/>
  <c r="B30" i="5"/>
  <c r="J30" i="5" s="1"/>
  <c r="J66" i="5" s="1"/>
  <c r="J28" i="5"/>
  <c r="J64" i="5" s="1"/>
  <c r="I20" i="10"/>
  <c r="H16" i="10"/>
  <c r="H18" i="10" s="1"/>
  <c r="B28" i="9"/>
  <c r="J20" i="9"/>
  <c r="J56" i="9" s="1"/>
  <c r="B18" i="10"/>
  <c r="D4" i="10"/>
  <c r="D16" i="10" s="1"/>
  <c r="B28" i="3"/>
  <c r="J20" i="3"/>
  <c r="J56" i="3" s="1"/>
  <c r="H66" i="9"/>
  <c r="H4" i="11" l="1"/>
  <c r="G3" i="11"/>
  <c r="D18" i="10"/>
  <c r="I16" i="10"/>
  <c r="J20" i="10"/>
  <c r="J25" i="10" s="1"/>
  <c r="I25" i="10"/>
  <c r="B30" i="3"/>
  <c r="J30" i="3" s="1"/>
  <c r="J66" i="3" s="1"/>
  <c r="J28" i="3"/>
  <c r="J64" i="3" s="1"/>
  <c r="B30" i="9"/>
  <c r="J30" i="9" s="1"/>
  <c r="J66" i="9" s="1"/>
  <c r="J28" i="9"/>
  <c r="J64" i="9" s="1"/>
  <c r="I4" i="10"/>
  <c r="J4" i="10" s="1"/>
  <c r="J28" i="6"/>
  <c r="J64" i="6" s="1"/>
  <c r="B30" i="6"/>
  <c r="J30" i="6" s="1"/>
  <c r="J66" i="6" s="1"/>
  <c r="G4" i="11" l="1"/>
  <c r="F3" i="11"/>
  <c r="J16" i="10"/>
  <c r="J18" i="10" s="1"/>
  <c r="I18" i="10"/>
  <c r="F4" i="11" l="1"/>
  <c r="E3" i="11"/>
  <c r="E4" i="11" l="1"/>
  <c r="C2" i="11" l="1"/>
  <c r="D2" i="11" s="1"/>
  <c r="E2" i="11" l="1"/>
  <c r="K2" i="11"/>
  <c r="I2" i="11"/>
  <c r="G2" i="11"/>
  <c r="F2" i="11"/>
  <c r="J2" i="11"/>
  <c r="H2" i="11"/>
  <c r="G5" i="11" l="1"/>
  <c r="K5" i="11"/>
  <c r="H5" i="11"/>
  <c r="H6" i="11" s="1"/>
  <c r="J5" i="11"/>
  <c r="J6" i="11" s="1"/>
  <c r="I5" i="11"/>
  <c r="I6" i="11" s="1"/>
  <c r="F5" i="11"/>
  <c r="F6" i="11" s="1"/>
  <c r="E5" i="11"/>
  <c r="E7" i="11" s="1"/>
  <c r="G6" i="11"/>
  <c r="D33" i="9" l="1"/>
  <c r="D69" i="9" s="1"/>
  <c r="K7" i="11"/>
  <c r="E6" i="11"/>
  <c r="K6" i="11"/>
  <c r="A7" i="11" l="1"/>
  <c r="L5" i="11"/>
  <c r="L6" i="11" s="1"/>
  <c r="D33" i="2"/>
  <c r="D69" i="2" s="1"/>
  <c r="D33" i="4" l="1"/>
  <c r="D69" i="4" s="1"/>
  <c r="D33" i="5"/>
  <c r="D69" i="5" s="1"/>
  <c r="D33" i="6"/>
  <c r="D69" i="6" s="1"/>
  <c r="D33" i="3"/>
  <c r="D69" i="3" s="1"/>
  <c r="D33" i="7" l="1"/>
  <c r="D69" i="7" s="1"/>
  <c r="D1" i="10"/>
</calcChain>
</file>

<file path=xl/sharedStrings.xml><?xml version="1.0" encoding="utf-8"?>
<sst xmlns="http://schemas.openxmlformats.org/spreadsheetml/2006/main" count="953" uniqueCount="132">
  <si>
    <t>HOTEL: Balaclava (Vic) - 3030</t>
  </si>
  <si>
    <t>DATE:</t>
  </si>
  <si>
    <t>DAILY TILL TAKING SUMMARY</t>
  </si>
  <si>
    <t>Public Bar
1 (B1)</t>
  </si>
  <si>
    <t>Public Bar Food (F1)</t>
  </si>
  <si>
    <t>B/shop 1 (B2)</t>
  </si>
  <si>
    <t>Gaming Bar
1 (B4)</t>
  </si>
  <si>
    <t>Gaming Bar
2 (B5)</t>
  </si>
  <si>
    <t>Gaming Food
(F2)</t>
  </si>
  <si>
    <t>TOTAL</t>
  </si>
  <si>
    <t>SKIM 1</t>
  </si>
  <si>
    <t>SKIM 2</t>
  </si>
  <si>
    <t>SKIM 3</t>
  </si>
  <si>
    <t>SKIM 4</t>
  </si>
  <si>
    <t>SKIM 5</t>
  </si>
  <si>
    <t>SKIM 6</t>
  </si>
  <si>
    <t>SUB TOTAL</t>
  </si>
  <si>
    <t>CHEQUES</t>
  </si>
  <si>
    <t>MANUAL BANKCARDS</t>
  </si>
  <si>
    <t>MANUAL VISA</t>
  </si>
  <si>
    <t>MANUAL MASTER CARDS</t>
  </si>
  <si>
    <t>CARDS TOTAL</t>
  </si>
  <si>
    <t>EFTPOS, M/Card, B/Card, Visa</t>
  </si>
  <si>
    <t>EDC - Amex</t>
  </si>
  <si>
    <t>EDC - Diners</t>
  </si>
  <si>
    <t>TOTAL CASH SALES</t>
  </si>
  <si>
    <t>CHARGES - HOTEL</t>
  </si>
  <si>
    <t>CHARGES - M/MEALS</t>
  </si>
  <si>
    <t>PROMOTIONS - FOOD</t>
  </si>
  <si>
    <t>PROMOTIONS - B/SHOP</t>
  </si>
  <si>
    <t>PROMOTIONS - BARS</t>
  </si>
  <si>
    <t>PROMOTIONS - GAMING</t>
  </si>
  <si>
    <t>DEPARTMENTAL TOTAL</t>
  </si>
  <si>
    <t>REGISTER READ - SALES</t>
  </si>
  <si>
    <t>NETT OVER/UNDER</t>
  </si>
  <si>
    <t>STAFF NAME</t>
  </si>
  <si>
    <t>Bistro Food Dinner (FG)</t>
  </si>
  <si>
    <t>Bistro Bar Food (B6)</t>
  </si>
  <si>
    <t>Bistro Bar
Liquor (B6)</t>
  </si>
  <si>
    <t>G/Gold Tickets</t>
  </si>
  <si>
    <t xml:space="preserve">SUNDRY </t>
  </si>
  <si>
    <t>Particulars &amp; 
Chq #</t>
  </si>
  <si>
    <t>Gaming Chq. Amounts (ZW)</t>
  </si>
  <si>
    <t>Gaming Chq. Numbers</t>
  </si>
  <si>
    <t>P/Cash Neg Bkg</t>
  </si>
  <si>
    <t>Pool Table</t>
  </si>
  <si>
    <t>Juke Box</t>
  </si>
  <si>
    <t>VSK</t>
  </si>
  <si>
    <t>Footy Tipping</t>
  </si>
  <si>
    <t>SKIM 7</t>
  </si>
  <si>
    <t>SKIM 8</t>
  </si>
  <si>
    <t>SKIM 9</t>
  </si>
  <si>
    <t>Armaguard Var</t>
  </si>
  <si>
    <t>SKIM 10</t>
  </si>
  <si>
    <t>Change Re-Bank</t>
  </si>
  <si>
    <t>Armaguard</t>
  </si>
  <si>
    <t>Envelope</t>
  </si>
  <si>
    <t>Amount</t>
  </si>
  <si>
    <t>Dropped</t>
  </si>
  <si>
    <t>Variance</t>
  </si>
  <si>
    <t xml:space="preserve">George's Gold Prizes paid by cheque </t>
  </si>
  <si>
    <t>$</t>
  </si>
  <si>
    <t>Cheque No</t>
  </si>
  <si>
    <t>Cheques</t>
  </si>
  <si>
    <t>EFTPOS</t>
  </si>
  <si>
    <t>EDC Amex</t>
  </si>
  <si>
    <t>EDC Diners</t>
  </si>
  <si>
    <t>Charges</t>
  </si>
  <si>
    <t>Keno</t>
  </si>
  <si>
    <t>VTM</t>
  </si>
  <si>
    <t>DATE</t>
  </si>
  <si>
    <t>CHQ NO.</t>
  </si>
  <si>
    <t xml:space="preserve">NAME </t>
  </si>
  <si>
    <t>AMOUNT</t>
  </si>
  <si>
    <t>WEEKLY</t>
  </si>
  <si>
    <t xml:space="preserve">GRAVEYARD PLEASE UPDATE IF PREVIOUS SHIFT HAS FORGOTTEN </t>
  </si>
  <si>
    <t>CAPITALS PLEASE</t>
  </si>
  <si>
    <t xml:space="preserve">WEEK END </t>
  </si>
  <si>
    <t>MONDAY</t>
  </si>
  <si>
    <t>TUESDAY</t>
  </si>
  <si>
    <t>WEDNESDAY</t>
  </si>
  <si>
    <t>THURSDAY</t>
  </si>
  <si>
    <t>FRIDAY</t>
  </si>
  <si>
    <t>SATURDAY</t>
  </si>
  <si>
    <t>SUNDAY</t>
  </si>
  <si>
    <t>TOTAL EXLC gst</t>
  </si>
  <si>
    <t>PUBLIC BAR</t>
  </si>
  <si>
    <t>CASH</t>
  </si>
  <si>
    <t>CHARGES</t>
  </si>
  <si>
    <t>LOUNGE BAR</t>
  </si>
  <si>
    <t>GAMING BAR</t>
  </si>
  <si>
    <t>BOTTLESHOP</t>
  </si>
  <si>
    <t>TOTAL LIQUOR</t>
  </si>
  <si>
    <t>BISTRO FOOD</t>
  </si>
  <si>
    <t>BISTRO BAR FOOD</t>
  </si>
  <si>
    <t xml:space="preserve">TOTAL FOOD </t>
  </si>
  <si>
    <t>POOL TABLES</t>
  </si>
  <si>
    <t>SUNDRY</t>
  </si>
  <si>
    <t>Total promos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</si>
  <si>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</si>
  <si>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</si>
  <si>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</si>
  <si>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</si>
  <si>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</si>
  <si>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</si>
  <si>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</si>
  <si>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</si>
  <si>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</si>
  <si>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</si>
  <si>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GG Cheques</t>
  </si>
  <si>
    <t>H11</t>
  </si>
  <si>
    <t>PP Jackpot</t>
  </si>
  <si>
    <t>H12</t>
  </si>
  <si>
    <t>Prize Pool Chq</t>
  </si>
  <si>
    <t>H13</t>
  </si>
  <si>
    <t xml:space="preserve">Chq Summary </t>
  </si>
  <si>
    <t>H14</t>
  </si>
  <si>
    <t>H15</t>
  </si>
  <si>
    <t>H16</t>
  </si>
  <si>
    <t>H17</t>
  </si>
  <si>
    <t>H18</t>
  </si>
  <si>
    <t>end of week day</t>
  </si>
  <si>
    <t>Sat</t>
  </si>
  <si>
    <t>Sun</t>
  </si>
  <si>
    <t>Mon</t>
  </si>
  <si>
    <t>Tue</t>
  </si>
  <si>
    <t>Wed</t>
  </si>
  <si>
    <t>Thu</t>
  </si>
  <si>
    <t>Fri</t>
  </si>
  <si>
    <t>selected date</t>
  </si>
  <si>
    <t>previous week ending date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</si>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</sst>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;[Red]\-&quot;$&quot;#,##0"/>
    <numFmt numFmtId="164" formatCode="d/m/yyyy"/>
    <numFmt numFmtId="165" formatCode="#,##0.00;[Red]\(#,##0.00\)"/>
    <numFmt numFmtId="166" formatCode="_-* #,##0.00_-;\-* #,##0.00_-;_-* &quot;-&quot;??_-;_-@"/>
    <numFmt numFmtId="167" formatCode="_-&quot;$&quot;* #,##0.00_-;\-&quot;$&quot;* #,##0.00_-;_-&quot;$&quot;* &quot;-&quot;??_-;_-@"/>
    <numFmt numFmtId="168" formatCode="_-* #,##0.00_-;[Red]\(\ #,##0.00\)_-;_-* &quot;-&quot;??_-;_-@"/>
    <numFmt numFmtId="169" formatCode="[$-C09]dd\-mmm\-yy"/>
    <numFmt numFmtId="170" formatCode="_-* #,##0.00_-;[Red]\(#,##0.00\)_-;_-* &quot;-&quot;??_-;_-@"/>
    <numFmt numFmtId="171" formatCode="[$-F800]dddd\,\ mmmm\ dd\,\ yyyy"/>
    <numFmt numFmtId="172" formatCode="dd\/mm\/yy"/>
    <numFmt numFmtId="173" formatCode="ddmmyy"/>
  </numFmts>
  <fonts count="38" x14ac:knownFonts="1">
    <font>
      <sz val="10"/>
      <color rgb="FF000000"/>
      <name val="Arial"/>
    </font>
    <font>
      <b/>
      <sz val="10"/>
      <name val="Century Gothic"/>
      <family val="2"/>
    </font>
    <font>
      <b/>
      <sz val="10"/>
      <name val="Century Gothic"/>
      <family val="2"/>
    </font>
    <font>
      <sz val="10"/>
      <name val="Arial"/>
      <family val="2"/>
    </font>
    <font>
      <sz val="10"/>
      <name val="Century Gothic"/>
      <family val="2"/>
    </font>
    <font>
      <b/>
      <sz val="12"/>
      <name val="Century Gothic"/>
      <family val="2"/>
    </font>
    <font>
      <b/>
      <sz val="8"/>
      <name val="Century Gothic"/>
      <family val="2"/>
    </font>
    <font>
      <sz val="9"/>
      <name val="Century Gothic"/>
      <family val="2"/>
    </font>
    <font>
      <b/>
      <sz val="9"/>
      <name val="Century Gothic"/>
      <family val="2"/>
    </font>
    <font>
      <sz val="12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sz val="10"/>
      <color rgb="FFFF0000"/>
      <name val="Century Gothic"/>
      <family val="2"/>
    </font>
    <font>
      <sz val="10"/>
      <color rgb="FFFF0000"/>
      <name val="Century Gothic"/>
      <family val="2"/>
    </font>
    <font>
      <b/>
      <u/>
      <sz val="10"/>
      <name val="Century Gothic"/>
      <family val="2"/>
    </font>
    <font>
      <i/>
      <u/>
      <sz val="10"/>
      <name val="Century Gothic"/>
      <family val="2"/>
    </font>
    <font>
      <sz val="9"/>
      <name val="Arial"/>
      <family val="2"/>
    </font>
    <font>
      <b/>
      <u/>
      <sz val="10"/>
      <name val="Century Gothic"/>
      <family val="2"/>
    </font>
    <font>
      <i/>
      <u/>
      <sz val="10"/>
      <name val="Century Gothic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i/>
      <sz val="16"/>
      <color rgb="FF000000"/>
      <name val="Century Gothic"/>
      <family val="2"/>
    </font>
    <font>
      <sz val="10"/>
      <color rgb="FF000000"/>
      <name val="Century Gothic"/>
      <family val="2"/>
    </font>
    <font>
      <b/>
      <i/>
      <sz val="16"/>
      <name val="Century Gothic"/>
      <family val="2"/>
    </font>
    <font>
      <sz val="12"/>
      <name val="Century Gothic"/>
      <family val="2"/>
    </font>
    <font>
      <b/>
      <sz val="16"/>
      <name val="Century Gothic"/>
      <family val="2"/>
    </font>
    <font>
      <sz val="20"/>
      <name val="Century Gothic"/>
      <family val="2"/>
    </font>
    <font>
      <sz val="12"/>
      <color rgb="FF333399"/>
      <name val="Century Gothic"/>
      <family val="2"/>
    </font>
    <font>
      <sz val="11"/>
      <color rgb="FF000000"/>
      <name val="Calibri"/>
      <family val="2"/>
    </font>
    <font>
      <sz val="11"/>
      <color rgb="FF4472C4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b/>
      <sz val="8"/>
      <name val="Century Gothic"/>
      <family val="2"/>
    </font>
    <font>
      <sz val="10"/>
      <name val="Century Gothic"/>
      <family val="2"/>
    </font>
    <font>
      <sz val="11"/>
      <color theme="8"/>
      <name val="Calibri"/>
      <family val="2"/>
      <scheme val="minor"/>
    </font>
    <font>
      <b/>
      <sz val="10"/>
      <color rgb="FFFF99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00000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rgb="FFFF9900"/>
      </patternFill>
    </fill>
  </fills>
  <borders count="4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30" fillId="0" borderId="0"/>
  </cellStyleXfs>
  <cellXfs count="226">
    <xf numFmtId="0" fontId="0" fillId="0" borderId="0" xfId="0" applyFont="1" applyAlignment="1"/>
    <xf numFmtId="0" fontId="1" fillId="2" borderId="0" xfId="0" applyFont="1" applyFill="1" applyBorder="1"/>
    <xf numFmtId="0" fontId="4" fillId="2" borderId="0" xfId="0" applyFont="1" applyFill="1" applyBorder="1"/>
    <xf numFmtId="0" fontId="4" fillId="3" borderId="0" xfId="0" applyFont="1" applyFill="1" applyBorder="1"/>
    <xf numFmtId="0" fontId="4" fillId="0" borderId="0" xfId="0" applyFont="1"/>
    <xf numFmtId="0" fontId="5" fillId="3" borderId="2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top" wrapText="1"/>
    </xf>
    <xf numFmtId="0" fontId="6" fillId="4" borderId="2" xfId="0" applyFont="1" applyFill="1" applyBorder="1" applyAlignment="1">
      <alignment horizontal="center" vertical="top" wrapText="1"/>
    </xf>
    <xf numFmtId="0" fontId="6" fillId="3" borderId="3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3" borderId="2" xfId="0" applyFont="1" applyFill="1" applyBorder="1"/>
    <xf numFmtId="0" fontId="4" fillId="3" borderId="3" xfId="0" applyFont="1" applyFill="1" applyBorder="1"/>
    <xf numFmtId="0" fontId="8" fillId="5" borderId="2" xfId="0" applyFont="1" applyFill="1" applyBorder="1"/>
    <xf numFmtId="165" fontId="4" fillId="0" borderId="2" xfId="0" applyNumberFormat="1" applyFont="1" applyBorder="1"/>
    <xf numFmtId="165" fontId="4" fillId="4" borderId="2" xfId="0" applyNumberFormat="1" applyFont="1" applyFill="1" applyBorder="1"/>
    <xf numFmtId="0" fontId="1" fillId="3" borderId="3" xfId="0" applyFont="1" applyFill="1" applyBorder="1"/>
    <xf numFmtId="0" fontId="1" fillId="3" borderId="0" xfId="0" applyFont="1" applyFill="1" applyBorder="1"/>
    <xf numFmtId="0" fontId="1" fillId="0" borderId="0" xfId="0" applyFont="1"/>
    <xf numFmtId="165" fontId="1" fillId="5" borderId="2" xfId="0" applyNumberFormat="1" applyFont="1" applyFill="1" applyBorder="1"/>
    <xf numFmtId="165" fontId="1" fillId="4" borderId="2" xfId="0" applyNumberFormat="1" applyFont="1" applyFill="1" applyBorder="1"/>
    <xf numFmtId="0" fontId="6" fillId="3" borderId="2" xfId="0" applyFont="1" applyFill="1" applyBorder="1" applyAlignment="1">
      <alignment horizontal="center"/>
    </xf>
    <xf numFmtId="165" fontId="13" fillId="4" borderId="2" xfId="0" applyNumberFormat="1" applyFont="1" applyFill="1" applyBorder="1"/>
    <xf numFmtId="0" fontId="4" fillId="4" borderId="2" xfId="0" applyFont="1" applyFill="1" applyBorder="1"/>
    <xf numFmtId="165" fontId="4" fillId="4" borderId="2" xfId="0" applyNumberFormat="1" applyFont="1" applyFill="1" applyBorder="1" applyAlignment="1">
      <alignment wrapText="1"/>
    </xf>
    <xf numFmtId="0" fontId="1" fillId="4" borderId="2" xfId="0" applyFont="1" applyFill="1" applyBorder="1"/>
    <xf numFmtId="0" fontId="1" fillId="2" borderId="7" xfId="0" applyFont="1" applyFill="1" applyBorder="1"/>
    <xf numFmtId="0" fontId="8" fillId="3" borderId="0" xfId="0" applyFont="1" applyFill="1" applyBorder="1" applyAlignment="1">
      <alignment horizontal="right"/>
    </xf>
    <xf numFmtId="0" fontId="7" fillId="3" borderId="0" xfId="0" applyFont="1" applyFill="1" applyBorder="1"/>
    <xf numFmtId="165" fontId="4" fillId="0" borderId="11" xfId="0" applyNumberFormat="1" applyFont="1" applyBorder="1"/>
    <xf numFmtId="0" fontId="4" fillId="3" borderId="2" xfId="0" applyFont="1" applyFill="1" applyBorder="1"/>
    <xf numFmtId="0" fontId="4" fillId="0" borderId="11" xfId="0" applyFont="1" applyBorder="1"/>
    <xf numFmtId="0" fontId="4" fillId="0" borderId="2" xfId="0" applyFont="1" applyBorder="1"/>
    <xf numFmtId="164" fontId="1" fillId="2" borderId="7" xfId="0" applyNumberFormat="1" applyFont="1" applyFill="1" applyBorder="1" applyAlignment="1">
      <alignment horizontal="center"/>
    </xf>
    <xf numFmtId="0" fontId="4" fillId="2" borderId="7" xfId="0" applyFont="1" applyFill="1" applyBorder="1"/>
    <xf numFmtId="0" fontId="7" fillId="0" borderId="0" xfId="0" applyFont="1"/>
    <xf numFmtId="0" fontId="1" fillId="3" borderId="6" xfId="0" applyFont="1" applyFill="1" applyBorder="1" applyAlignment="1">
      <alignment horizontal="center"/>
    </xf>
    <xf numFmtId="167" fontId="1" fillId="3" borderId="0" xfId="0" applyNumberFormat="1" applyFont="1" applyFill="1" applyBorder="1"/>
    <xf numFmtId="165" fontId="4" fillId="3" borderId="0" xfId="0" applyNumberFormat="1" applyFont="1" applyFill="1" applyBorder="1"/>
    <xf numFmtId="0" fontId="17" fillId="3" borderId="0" xfId="0" applyFont="1" applyFill="1" applyBorder="1"/>
    <xf numFmtId="0" fontId="18" fillId="3" borderId="0" xfId="0" applyFont="1" applyFill="1" applyBorder="1" applyAlignment="1">
      <alignment horizontal="center"/>
    </xf>
    <xf numFmtId="167" fontId="4" fillId="3" borderId="0" xfId="0" applyNumberFormat="1" applyFont="1" applyFill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4" fontId="21" fillId="0" borderId="0" xfId="0" applyNumberFormat="1" applyFont="1"/>
    <xf numFmtId="2" fontId="21" fillId="0" borderId="0" xfId="0" applyNumberFormat="1" applyFont="1"/>
    <xf numFmtId="0" fontId="22" fillId="0" borderId="0" xfId="0" applyFont="1"/>
    <xf numFmtId="0" fontId="21" fillId="0" borderId="0" xfId="0" applyFont="1" applyAlignment="1">
      <alignment horizontal="center"/>
    </xf>
    <xf numFmtId="2" fontId="22" fillId="0" borderId="0" xfId="0" applyNumberFormat="1" applyFont="1"/>
    <xf numFmtId="164" fontId="21" fillId="0" borderId="0" xfId="0" applyNumberFormat="1" applyFont="1" applyAlignment="1">
      <alignment horizontal="center"/>
    </xf>
    <xf numFmtId="0" fontId="21" fillId="0" borderId="0" xfId="0" applyFont="1"/>
    <xf numFmtId="168" fontId="4" fillId="0" borderId="2" xfId="0" applyNumberFormat="1" applyFont="1" applyBorder="1"/>
    <xf numFmtId="168" fontId="4" fillId="4" borderId="2" xfId="0" applyNumberFormat="1" applyFont="1" applyFill="1" applyBorder="1"/>
    <xf numFmtId="0" fontId="23" fillId="2" borderId="19" xfId="0" applyFont="1" applyFill="1" applyBorder="1"/>
    <xf numFmtId="0" fontId="24" fillId="2" borderId="20" xfId="0" applyFont="1" applyFill="1" applyBorder="1"/>
    <xf numFmtId="0" fontId="23" fillId="2" borderId="20" xfId="0" applyFont="1" applyFill="1" applyBorder="1" applyAlignment="1">
      <alignment horizontal="right"/>
    </xf>
    <xf numFmtId="169" fontId="23" fillId="2" borderId="20" xfId="0" applyNumberFormat="1" applyFont="1" applyFill="1" applyBorder="1" applyAlignment="1">
      <alignment horizontal="center"/>
    </xf>
    <xf numFmtId="0" fontId="23" fillId="2" borderId="20" xfId="0" applyFont="1" applyFill="1" applyBorder="1"/>
    <xf numFmtId="0" fontId="23" fillId="2" borderId="21" xfId="0" applyFont="1" applyFill="1" applyBorder="1"/>
    <xf numFmtId="0" fontId="23" fillId="3" borderId="0" xfId="0" applyFont="1" applyFill="1" applyBorder="1" applyAlignment="1">
      <alignment horizontal="right"/>
    </xf>
    <xf numFmtId="0" fontId="25" fillId="0" borderId="0" xfId="0" applyFont="1"/>
    <xf numFmtId="0" fontId="26" fillId="3" borderId="3" xfId="0" applyFont="1" applyFill="1" applyBorder="1" applyAlignment="1">
      <alignment horizontal="center"/>
    </xf>
    <xf numFmtId="169" fontId="27" fillId="3" borderId="22" xfId="0" applyNumberFormat="1" applyFont="1" applyFill="1" applyBorder="1" applyAlignment="1">
      <alignment horizontal="center"/>
    </xf>
    <xf numFmtId="169" fontId="27" fillId="3" borderId="23" xfId="0" applyNumberFormat="1" applyFont="1" applyFill="1" applyBorder="1" applyAlignment="1">
      <alignment horizontal="center"/>
    </xf>
    <xf numFmtId="169" fontId="27" fillId="3" borderId="24" xfId="0" applyNumberFormat="1" applyFont="1" applyFill="1" applyBorder="1" applyAlignment="1">
      <alignment horizontal="center"/>
    </xf>
    <xf numFmtId="169" fontId="26" fillId="3" borderId="0" xfId="0" applyNumberFormat="1" applyFont="1" applyFill="1" applyBorder="1" applyAlignment="1">
      <alignment horizontal="center"/>
    </xf>
    <xf numFmtId="0" fontId="28" fillId="3" borderId="0" xfId="0" applyFont="1" applyFill="1" applyBorder="1"/>
    <xf numFmtId="0" fontId="5" fillId="3" borderId="19" xfId="0" applyFont="1" applyFill="1" applyBorder="1" applyAlignment="1">
      <alignment horizontal="center"/>
    </xf>
    <xf numFmtId="166" fontId="26" fillId="3" borderId="20" xfId="0" applyNumberFormat="1" applyFont="1" applyFill="1" applyBorder="1" applyAlignment="1">
      <alignment horizontal="center"/>
    </xf>
    <xf numFmtId="166" fontId="26" fillId="3" borderId="21" xfId="0" applyNumberFormat="1" applyFont="1" applyFill="1" applyBorder="1" applyAlignment="1">
      <alignment horizontal="center"/>
    </xf>
    <xf numFmtId="166" fontId="26" fillId="3" borderId="0" xfId="0" applyNumberFormat="1" applyFont="1" applyFill="1" applyBorder="1" applyAlignment="1">
      <alignment horizontal="center"/>
    </xf>
    <xf numFmtId="166" fontId="26" fillId="0" borderId="25" xfId="0" applyNumberFormat="1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0" fontId="26" fillId="3" borderId="26" xfId="0" applyFont="1" applyFill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18" xfId="0" applyNumberFormat="1" applyFont="1" applyBorder="1" applyAlignment="1">
      <alignment horizontal="center"/>
    </xf>
    <xf numFmtId="166" fontId="29" fillId="3" borderId="20" xfId="0" applyNumberFormat="1" applyFont="1" applyFill="1" applyBorder="1" applyAlignment="1">
      <alignment horizontal="center"/>
    </xf>
    <xf numFmtId="166" fontId="29" fillId="3" borderId="21" xfId="0" applyNumberFormat="1" applyFont="1" applyFill="1" applyBorder="1" applyAlignment="1">
      <alignment horizontal="center"/>
    </xf>
    <xf numFmtId="166" fontId="29" fillId="3" borderId="0" xfId="0" applyNumberFormat="1" applyFont="1" applyFill="1" applyBorder="1" applyAlignment="1">
      <alignment horizontal="center"/>
    </xf>
    <xf numFmtId="166" fontId="29" fillId="0" borderId="25" xfId="0" applyNumberFormat="1" applyFont="1" applyBorder="1" applyAlignment="1">
      <alignment horizontal="center"/>
    </xf>
    <xf numFmtId="166" fontId="29" fillId="0" borderId="27" xfId="0" applyNumberFormat="1" applyFont="1" applyBorder="1" applyAlignment="1">
      <alignment horizontal="center"/>
    </xf>
    <xf numFmtId="0" fontId="5" fillId="5" borderId="28" xfId="0" applyFont="1" applyFill="1" applyBorder="1" applyAlignment="1">
      <alignment horizontal="center"/>
    </xf>
    <xf numFmtId="166" fontId="29" fillId="5" borderId="29" xfId="0" applyNumberFormat="1" applyFont="1" applyFill="1" applyBorder="1" applyAlignment="1">
      <alignment horizontal="center"/>
    </xf>
    <xf numFmtId="166" fontId="29" fillId="5" borderId="30" xfId="0" applyNumberFormat="1" applyFont="1" applyFill="1" applyBorder="1" applyAlignment="1">
      <alignment horizontal="center"/>
    </xf>
    <xf numFmtId="6" fontId="5" fillId="3" borderId="3" xfId="0" applyNumberFormat="1" applyFont="1" applyFill="1" applyBorder="1" applyAlignment="1">
      <alignment horizontal="center"/>
    </xf>
    <xf numFmtId="6" fontId="5" fillId="3" borderId="19" xfId="0" applyNumberFormat="1" applyFont="1" applyFill="1" applyBorder="1" applyAlignment="1">
      <alignment horizontal="center"/>
    </xf>
    <xf numFmtId="166" fontId="26" fillId="0" borderId="31" xfId="0" applyNumberFormat="1" applyFont="1" applyBorder="1" applyAlignment="1">
      <alignment horizontal="center"/>
    </xf>
    <xf numFmtId="166" fontId="26" fillId="0" borderId="32" xfId="0" applyNumberFormat="1" applyFont="1" applyBorder="1" applyAlignment="1">
      <alignment horizontal="center"/>
    </xf>
    <xf numFmtId="170" fontId="26" fillId="3" borderId="0" xfId="0" applyNumberFormat="1" applyFont="1" applyFill="1" applyBorder="1" applyAlignment="1">
      <alignment horizontal="right"/>
    </xf>
    <xf numFmtId="166" fontId="26" fillId="5" borderId="33" xfId="0" applyNumberFormat="1" applyFont="1" applyFill="1" applyBorder="1" applyAlignment="1">
      <alignment horizontal="center"/>
    </xf>
    <xf numFmtId="166" fontId="26" fillId="5" borderId="34" xfId="0" applyNumberFormat="1" applyFont="1" applyFill="1" applyBorder="1" applyAlignment="1">
      <alignment horizontal="center"/>
    </xf>
    <xf numFmtId="166" fontId="26" fillId="3" borderId="8" xfId="0" applyNumberFormat="1" applyFont="1" applyFill="1" applyBorder="1" applyAlignment="1">
      <alignment horizontal="center"/>
    </xf>
    <xf numFmtId="6" fontId="5" fillId="5" borderId="35" xfId="0" applyNumberFormat="1" applyFont="1" applyFill="1" applyBorder="1" applyAlignment="1">
      <alignment horizontal="center"/>
    </xf>
    <xf numFmtId="166" fontId="26" fillId="5" borderId="36" xfId="0" applyNumberFormat="1" applyFont="1" applyFill="1" applyBorder="1" applyAlignment="1">
      <alignment horizontal="center"/>
    </xf>
    <xf numFmtId="166" fontId="26" fillId="5" borderId="37" xfId="0" applyNumberFormat="1" applyFont="1" applyFill="1" applyBorder="1" applyAlignment="1">
      <alignment horizontal="center"/>
    </xf>
    <xf numFmtId="0" fontId="4" fillId="3" borderId="8" xfId="0" applyFont="1" applyFill="1" applyBorder="1"/>
    <xf numFmtId="0" fontId="5" fillId="5" borderId="35" xfId="0" applyFont="1" applyFill="1" applyBorder="1" applyAlignment="1">
      <alignment horizontal="center"/>
    </xf>
    <xf numFmtId="168" fontId="4" fillId="5" borderId="2" xfId="0" applyNumberFormat="1" applyFont="1" applyFill="1" applyBorder="1"/>
    <xf numFmtId="168" fontId="4" fillId="0" borderId="38" xfId="0" applyNumberFormat="1" applyFont="1" applyBorder="1"/>
    <xf numFmtId="168" fontId="4" fillId="0" borderId="39" xfId="0" applyNumberFormat="1" applyFont="1" applyBorder="1"/>
    <xf numFmtId="168" fontId="4" fillId="0" borderId="40" xfId="0" applyNumberFormat="1" applyFont="1" applyBorder="1"/>
    <xf numFmtId="0" fontId="31" fillId="6" borderId="0" xfId="1" applyFont="1" applyFill="1" applyBorder="1"/>
    <xf numFmtId="0" fontId="30" fillId="0" borderId="0" xfId="1" applyFont="1" applyAlignment="1"/>
    <xf numFmtId="14" fontId="31" fillId="6" borderId="0" xfId="1" applyNumberFormat="1" applyFont="1" applyFill="1" applyBorder="1"/>
    <xf numFmtId="0" fontId="30" fillId="0" borderId="0" xfId="1" applyFont="1"/>
    <xf numFmtId="0" fontId="33" fillId="0" borderId="0" xfId="1" applyFont="1" applyAlignment="1"/>
    <xf numFmtId="172" fontId="1" fillId="2" borderId="0" xfId="0" applyNumberFormat="1" applyFont="1" applyFill="1" applyBorder="1" applyAlignment="1">
      <alignment horizontal="center"/>
    </xf>
    <xf numFmtId="0" fontId="36" fillId="8" borderId="0" xfId="0" applyFont="1" applyFill="1"/>
    <xf numFmtId="14" fontId="36" fillId="8" borderId="0" xfId="0" applyNumberFormat="1" applyFont="1" applyFill="1"/>
    <xf numFmtId="173" fontId="31" fillId="6" borderId="0" xfId="1" applyNumberFormat="1" applyFont="1" applyFill="1" applyBorder="1"/>
    <xf numFmtId="0" fontId="32" fillId="7" borderId="0" xfId="1" applyFont="1" applyFill="1" applyBorder="1" applyAlignment="1" applyProtection="1"/>
    <xf numFmtId="0" fontId="2" fillId="2" borderId="1" xfId="0" applyFont="1" applyFill="1" applyBorder="1" applyAlignment="1" applyProtection="1">
      <protection locked="0"/>
    </xf>
    <xf numFmtId="0" fontId="3" fillId="2" borderId="1" xfId="0" applyFont="1" applyFill="1" applyBorder="1" applyAlignment="1" applyProtection="1">
      <protection locked="0"/>
    </xf>
    <xf numFmtId="0" fontId="4" fillId="3" borderId="0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9" fillId="3" borderId="6" xfId="0" applyFont="1" applyFill="1" applyBorder="1" applyAlignment="1" applyProtection="1">
      <protection locked="0"/>
    </xf>
    <xf numFmtId="0" fontId="6" fillId="3" borderId="5" xfId="0" applyFont="1" applyFill="1" applyBorder="1" applyAlignment="1" applyProtection="1">
      <alignment horizontal="center" vertical="top" wrapText="1"/>
      <protection locked="0"/>
    </xf>
    <xf numFmtId="0" fontId="6" fillId="4" borderId="5" xfId="0" applyFont="1" applyFill="1" applyBorder="1" applyAlignment="1" applyProtection="1">
      <alignment horizontal="center" vertical="top" wrapText="1"/>
      <protection locked="0"/>
    </xf>
    <xf numFmtId="0" fontId="10" fillId="4" borderId="5" xfId="0" applyFont="1" applyFill="1" applyBorder="1" applyAlignment="1" applyProtection="1">
      <protection locked="0"/>
    </xf>
    <xf numFmtId="0" fontId="6" fillId="3" borderId="3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protection locked="0"/>
    </xf>
    <xf numFmtId="165" fontId="3" fillId="0" borderId="2" xfId="0" applyNumberFormat="1" applyFont="1" applyBorder="1" applyAlignment="1" applyProtection="1">
      <protection locked="0"/>
    </xf>
    <xf numFmtId="165" fontId="3" fillId="4" borderId="4" xfId="0" applyNumberFormat="1" applyFont="1" applyFill="1" applyBorder="1" applyAlignment="1" applyProtection="1">
      <protection locked="0"/>
    </xf>
    <xf numFmtId="166" fontId="3" fillId="0" borderId="5" xfId="0" applyNumberFormat="1" applyFont="1" applyBorder="1" applyAlignment="1" applyProtection="1">
      <protection locked="0"/>
    </xf>
    <xf numFmtId="165" fontId="3" fillId="0" borderId="4" xfId="0" applyNumberFormat="1" applyFont="1" applyBorder="1" applyAlignment="1" applyProtection="1">
      <protection locked="0"/>
    </xf>
    <xf numFmtId="165" fontId="3" fillId="5" borderId="4" xfId="0" applyNumberFormat="1" applyFont="1" applyFill="1" applyBorder="1" applyAlignment="1" applyProtection="1">
      <protection locked="0"/>
    </xf>
    <xf numFmtId="0" fontId="4" fillId="3" borderId="3" xfId="0" applyFont="1" applyFill="1" applyBorder="1" applyProtection="1">
      <protection locked="0"/>
    </xf>
    <xf numFmtId="165" fontId="3" fillId="0" borderId="6" xfId="0" applyNumberFormat="1" applyFont="1" applyBorder="1" applyAlignment="1" applyProtection="1">
      <protection locked="0"/>
    </xf>
    <xf numFmtId="165" fontId="3" fillId="4" borderId="5" xfId="0" applyNumberFormat="1" applyFont="1" applyFill="1" applyBorder="1" applyAlignment="1" applyProtection="1">
      <protection locked="0"/>
    </xf>
    <xf numFmtId="165" fontId="3" fillId="0" borderId="5" xfId="0" applyNumberFormat="1" applyFont="1" applyBorder="1" applyAlignment="1" applyProtection="1">
      <protection locked="0"/>
    </xf>
    <xf numFmtId="165" fontId="3" fillId="5" borderId="5" xfId="0" applyNumberFormat="1" applyFont="1" applyFill="1" applyBorder="1" applyAlignment="1" applyProtection="1">
      <protection locked="0"/>
    </xf>
    <xf numFmtId="0" fontId="8" fillId="5" borderId="6" xfId="0" applyFont="1" applyFill="1" applyBorder="1" applyAlignment="1" applyProtection="1">
      <protection locked="0"/>
    </xf>
    <xf numFmtId="165" fontId="2" fillId="5" borderId="6" xfId="0" applyNumberFormat="1" applyFont="1" applyFill="1" applyBorder="1" applyAlignment="1" applyProtection="1">
      <alignment horizontal="right"/>
      <protection locked="0"/>
    </xf>
    <xf numFmtId="165" fontId="2" fillId="5" borderId="5" xfId="0" applyNumberFormat="1" applyFont="1" applyFill="1" applyBorder="1" applyAlignment="1" applyProtection="1">
      <alignment horizontal="right"/>
      <protection locked="0"/>
    </xf>
    <xf numFmtId="0" fontId="1" fillId="3" borderId="3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0" fontId="1" fillId="0" borderId="0" xfId="0" applyFont="1" applyProtection="1">
      <protection locked="0"/>
    </xf>
    <xf numFmtId="165" fontId="3" fillId="4" borderId="6" xfId="0" applyNumberFormat="1" applyFont="1" applyFill="1" applyBorder="1" applyAlignment="1" applyProtection="1">
      <protection locked="0"/>
    </xf>
    <xf numFmtId="165" fontId="11" fillId="4" borderId="6" xfId="0" applyNumberFormat="1" applyFont="1" applyFill="1" applyBorder="1" applyAlignment="1" applyProtection="1">
      <alignment horizontal="right"/>
      <protection locked="0"/>
    </xf>
    <xf numFmtId="165" fontId="11" fillId="4" borderId="5" xfId="0" applyNumberFormat="1" applyFont="1" applyFill="1" applyBorder="1" applyAlignment="1" applyProtection="1">
      <alignment horizontal="right"/>
      <protection locked="0"/>
    </xf>
    <xf numFmtId="0" fontId="10" fillId="3" borderId="6" xfId="0" applyFont="1" applyFill="1" applyBorder="1" applyAlignment="1" applyProtection="1">
      <protection locked="0"/>
    </xf>
    <xf numFmtId="0" fontId="6" fillId="4" borderId="6" xfId="0" applyFont="1" applyFill="1" applyBorder="1" applyAlignment="1" applyProtection="1">
      <alignment horizontal="center" vertical="top" wrapText="1"/>
      <protection locked="0"/>
    </xf>
    <xf numFmtId="165" fontId="12" fillId="4" borderId="5" xfId="0" applyNumberFormat="1" applyFont="1" applyFill="1" applyBorder="1" applyAlignment="1" applyProtection="1">
      <protection locked="0"/>
    </xf>
    <xf numFmtId="0" fontId="3" fillId="4" borderId="5" xfId="0" applyFont="1" applyFill="1" applyBorder="1" applyAlignment="1" applyProtection="1">
      <protection locked="0"/>
    </xf>
    <xf numFmtId="165" fontId="11" fillId="4" borderId="5" xfId="0" applyNumberFormat="1" applyFont="1" applyFill="1" applyBorder="1" applyAlignment="1" applyProtection="1">
      <protection locked="0"/>
    </xf>
    <xf numFmtId="0" fontId="3" fillId="0" borderId="5" xfId="0" applyFont="1" applyBorder="1" applyAlignment="1" applyProtection="1">
      <protection locked="0"/>
    </xf>
    <xf numFmtId="164" fontId="2" fillId="2" borderId="1" xfId="0" applyNumberFormat="1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right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protection locked="0"/>
    </xf>
    <xf numFmtId="167" fontId="2" fillId="3" borderId="0" xfId="0" applyNumberFormat="1" applyFont="1" applyFill="1" applyBorder="1" applyAlignment="1" applyProtection="1">
      <alignment horizontal="right"/>
      <protection locked="0"/>
    </xf>
    <xf numFmtId="0" fontId="3" fillId="3" borderId="0" xfId="0" applyFont="1" applyFill="1" applyBorder="1" applyAlignment="1" applyProtection="1">
      <protection locked="0"/>
    </xf>
    <xf numFmtId="0" fontId="16" fillId="3" borderId="8" xfId="0" applyFont="1" applyFill="1" applyBorder="1" applyAlignment="1" applyProtection="1">
      <protection locked="0"/>
    </xf>
    <xf numFmtId="0" fontId="3" fillId="3" borderId="6" xfId="0" applyFont="1" applyFill="1" applyBorder="1" applyAlignment="1" applyProtection="1">
      <protection locked="0"/>
    </xf>
    <xf numFmtId="167" fontId="3" fillId="0" borderId="5" xfId="0" applyNumberFormat="1" applyFont="1" applyBorder="1" applyAlignment="1" applyProtection="1">
      <protection locked="0"/>
    </xf>
    <xf numFmtId="0" fontId="11" fillId="3" borderId="0" xfId="0" applyFont="1" applyFill="1" applyBorder="1" applyAlignment="1" applyProtection="1">
      <protection locked="0"/>
    </xf>
    <xf numFmtId="165" fontId="11" fillId="3" borderId="0" xfId="0" applyNumberFormat="1" applyFont="1" applyFill="1" applyBorder="1" applyAlignment="1" applyProtection="1">
      <alignment horizontal="right"/>
      <protection locked="0"/>
    </xf>
    <xf numFmtId="0" fontId="14" fillId="3" borderId="0" xfId="0" applyFont="1" applyFill="1" applyBorder="1" applyAlignment="1" applyProtection="1">
      <protection locked="0"/>
    </xf>
    <xf numFmtId="0" fontId="15" fillId="3" borderId="1" xfId="0" applyFont="1" applyFill="1" applyBorder="1" applyAlignment="1" applyProtection="1">
      <alignment horizontal="center"/>
      <protection locked="0"/>
    </xf>
    <xf numFmtId="167" fontId="11" fillId="3" borderId="8" xfId="0" applyNumberFormat="1" applyFont="1" applyFill="1" applyBorder="1" applyAlignment="1" applyProtection="1">
      <alignment horizontal="right"/>
      <protection locked="0"/>
    </xf>
    <xf numFmtId="166" fontId="3" fillId="0" borderId="9" xfId="0" applyNumberFormat="1" applyFont="1" applyBorder="1" applyAlignment="1" applyProtection="1">
      <protection locked="0"/>
    </xf>
    <xf numFmtId="0" fontId="3" fillId="0" borderId="10" xfId="0" applyFont="1" applyBorder="1" applyAlignment="1" applyProtection="1">
      <protection locked="0"/>
    </xf>
    <xf numFmtId="167" fontId="2" fillId="3" borderId="8" xfId="0" applyNumberFormat="1" applyFont="1" applyFill="1" applyBorder="1" applyAlignment="1" applyProtection="1">
      <alignment horizontal="right"/>
      <protection locked="0"/>
    </xf>
    <xf numFmtId="0" fontId="3" fillId="3" borderId="8" xfId="0" applyFont="1" applyFill="1" applyBorder="1" applyAlignment="1" applyProtection="1">
      <protection locked="0"/>
    </xf>
    <xf numFmtId="166" fontId="3" fillId="0" borderId="12" xfId="0" applyNumberFormat="1" applyFont="1" applyBorder="1" applyAlignment="1" applyProtection="1">
      <protection locked="0"/>
    </xf>
    <xf numFmtId="0" fontId="3" fillId="3" borderId="5" xfId="0" applyFont="1" applyFill="1" applyBorder="1" applyAlignment="1" applyProtection="1">
      <protection locked="0"/>
    </xf>
    <xf numFmtId="0" fontId="16" fillId="3" borderId="0" xfId="0" applyFont="1" applyFill="1" applyBorder="1" applyAlignment="1" applyProtection="1">
      <protection locked="0"/>
    </xf>
    <xf numFmtId="0" fontId="7" fillId="0" borderId="0" xfId="0" applyFont="1" applyProtection="1">
      <protection locked="0"/>
    </xf>
    <xf numFmtId="0" fontId="2" fillId="2" borderId="1" xfId="0" applyFont="1" applyFill="1" applyBorder="1" applyAlignment="1" applyProtection="1"/>
    <xf numFmtId="0" fontId="3" fillId="2" borderId="1" xfId="0" applyFont="1" applyFill="1" applyBorder="1" applyAlignment="1" applyProtection="1"/>
    <xf numFmtId="172" fontId="2" fillId="2" borderId="1" xfId="0" applyNumberFormat="1" applyFont="1" applyFill="1" applyBorder="1" applyAlignment="1" applyProtection="1">
      <alignment horizontal="center"/>
    </xf>
    <xf numFmtId="172" fontId="1" fillId="2" borderId="0" xfId="0" applyNumberFormat="1" applyFont="1" applyFill="1" applyBorder="1" applyAlignment="1" applyProtection="1">
      <alignment horizontal="center"/>
    </xf>
    <xf numFmtId="172" fontId="37" fillId="9" borderId="1" xfId="0" applyNumberFormat="1" applyFont="1" applyFill="1" applyBorder="1" applyAlignment="1" applyProtection="1">
      <alignment horizontal="center"/>
      <protection locked="0"/>
    </xf>
    <xf numFmtId="171" fontId="35" fillId="3" borderId="0" xfId="0" applyNumberFormat="1" applyFont="1" applyFill="1" applyBorder="1" applyProtection="1">
      <protection locked="0"/>
    </xf>
    <xf numFmtId="14" fontId="34" fillId="3" borderId="0" xfId="0" applyNumberFormat="1" applyFont="1" applyFill="1" applyBorder="1" applyAlignment="1" applyProtection="1">
      <alignment horizontal="center"/>
      <protection locked="0"/>
    </xf>
    <xf numFmtId="165" fontId="4" fillId="0" borderId="2" xfId="0" applyNumberFormat="1" applyFont="1" applyBorder="1" applyProtection="1">
      <protection locked="0"/>
    </xf>
    <xf numFmtId="165" fontId="4" fillId="4" borderId="2" xfId="0" applyNumberFormat="1" applyFont="1" applyFill="1" applyBorder="1" applyAlignment="1" applyProtection="1">
      <protection locked="0"/>
    </xf>
    <xf numFmtId="165" fontId="4" fillId="4" borderId="2" xfId="0" applyNumberFormat="1" applyFont="1" applyFill="1" applyBorder="1" applyProtection="1">
      <protection locked="0"/>
    </xf>
    <xf numFmtId="166" fontId="4" fillId="0" borderId="0" xfId="0" applyNumberFormat="1" applyFont="1" applyProtection="1">
      <protection locked="0"/>
    </xf>
    <xf numFmtId="165" fontId="1" fillId="5" borderId="2" xfId="0" applyNumberFormat="1" applyFont="1" applyFill="1" applyBorder="1" applyProtection="1">
      <protection locked="0"/>
    </xf>
    <xf numFmtId="166" fontId="4" fillId="0" borderId="2" xfId="0" applyNumberFormat="1" applyFont="1" applyBorder="1" applyProtection="1">
      <protection locked="0"/>
    </xf>
    <xf numFmtId="165" fontId="1" fillId="4" borderId="2" xfId="0" applyNumberFormat="1" applyFont="1" applyFill="1" applyBorder="1" applyProtection="1">
      <protection locked="0"/>
    </xf>
    <xf numFmtId="0" fontId="6" fillId="4" borderId="2" xfId="0" applyFont="1" applyFill="1" applyBorder="1" applyAlignment="1" applyProtection="1">
      <alignment horizontal="center" vertical="top" wrapText="1"/>
      <protection locked="0"/>
    </xf>
    <xf numFmtId="0" fontId="6" fillId="3" borderId="2" xfId="0" applyFont="1" applyFill="1" applyBorder="1" applyAlignment="1" applyProtection="1">
      <alignment horizontal="center" vertical="top" wrapText="1"/>
      <protection locked="0"/>
    </xf>
    <xf numFmtId="165" fontId="13" fillId="4" borderId="2" xfId="0" applyNumberFormat="1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165" fontId="4" fillId="4" borderId="2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Protection="1">
      <protection locked="0"/>
    </xf>
    <xf numFmtId="165" fontId="4" fillId="5" borderId="2" xfId="0" applyNumberFormat="1" applyFont="1" applyFill="1" applyBorder="1" applyProtection="1">
      <protection locked="0"/>
    </xf>
    <xf numFmtId="165" fontId="4" fillId="0" borderId="11" xfId="0" applyNumberFormat="1" applyFont="1" applyBorder="1" applyProtection="1">
      <protection locked="0"/>
    </xf>
    <xf numFmtId="0" fontId="4" fillId="0" borderId="11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1" fillId="2" borderId="7" xfId="0" applyFont="1" applyFill="1" applyBorder="1" applyProtection="1"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0" fontId="4" fillId="2" borderId="7" xfId="0" applyFont="1" applyFill="1" applyBorder="1" applyProtection="1"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167" fontId="1" fillId="3" borderId="0" xfId="0" applyNumberFormat="1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167" fontId="4" fillId="0" borderId="2" xfId="0" applyNumberFormat="1" applyFont="1" applyBorder="1" applyProtection="1">
      <protection locked="0"/>
    </xf>
    <xf numFmtId="165" fontId="4" fillId="3" borderId="0" xfId="0" applyNumberFormat="1" applyFont="1" applyFill="1" applyBorder="1" applyProtection="1">
      <protection locked="0"/>
    </xf>
    <xf numFmtId="0" fontId="17" fillId="3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center"/>
      <protection locked="0"/>
    </xf>
    <xf numFmtId="167" fontId="4" fillId="3" borderId="0" xfId="0" applyNumberFormat="1" applyFont="1" applyFill="1" applyBorder="1" applyProtection="1">
      <protection locked="0"/>
    </xf>
    <xf numFmtId="166" fontId="4" fillId="0" borderId="13" xfId="0" applyNumberFormat="1" applyFont="1" applyBorder="1" applyProtection="1">
      <protection locked="0"/>
    </xf>
    <xf numFmtId="0" fontId="4" fillId="0" borderId="14" xfId="0" applyFont="1" applyBorder="1" applyProtection="1">
      <protection locked="0"/>
    </xf>
    <xf numFmtId="166" fontId="4" fillId="0" borderId="15" xfId="0" applyNumberFormat="1" applyFont="1" applyBorder="1" applyProtection="1">
      <protection locked="0"/>
    </xf>
    <xf numFmtId="0" fontId="4" fillId="0" borderId="16" xfId="0" applyFont="1" applyBorder="1" applyProtection="1">
      <protection locked="0"/>
    </xf>
    <xf numFmtId="166" fontId="4" fillId="0" borderId="17" xfId="0" applyNumberFormat="1" applyFont="1" applyBorder="1" applyProtection="1">
      <protection locked="0"/>
    </xf>
    <xf numFmtId="0" fontId="4" fillId="0" borderId="18" xfId="0" applyFont="1" applyBorder="1" applyProtection="1">
      <protection locked="0"/>
    </xf>
    <xf numFmtId="0" fontId="5" fillId="3" borderId="2" xfId="0" applyFont="1" applyFill="1" applyBorder="1" applyAlignment="1" applyProtection="1">
      <alignment horizontal="center"/>
      <protection locked="0"/>
    </xf>
    <xf numFmtId="0" fontId="7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6" fillId="3" borderId="2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right"/>
      <protection locked="0"/>
    </xf>
    <xf numFmtId="0" fontId="7" fillId="3" borderId="0" xfId="0" applyFont="1" applyFill="1" applyBorder="1" applyProtection="1">
      <protection locked="0"/>
    </xf>
    <xf numFmtId="0" fontId="1" fillId="2" borderId="0" xfId="0" applyFont="1" applyFill="1" applyBorder="1" applyProtection="1"/>
    <xf numFmtId="0" fontId="4" fillId="2" borderId="0" xfId="0" applyFont="1" applyFill="1" applyBorder="1" applyProtection="1"/>
    <xf numFmtId="0" fontId="20" fillId="0" borderId="0" xfId="0" applyFont="1" applyAlignment="1">
      <alignment horizontal="center"/>
    </xf>
    <xf numFmtId="0" fontId="0" fillId="0" borderId="0" xfId="0" applyFont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 20'!$E$1:$E$34</c:f>
              <c:strCache>
                <c:ptCount val="34"/>
                <c:pt idx="0">
                  <c:v>DAILY TILL TAKING SUMMARY</c:v>
                </c:pt>
                <c:pt idx="1">
                  <c:v>B/shop 1 (B2)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G/Gold Tickets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20'!$E$35:$E$78</c:f>
              <c:numCache>
                <c:formatCode>#,##0.00;[Red]\(#,##0.00\)</c:formatCode>
                <c:ptCount val="42"/>
                <c:pt idx="10">
                  <c:v>0</c:v>
                </c:pt>
                <c:pt idx="15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2" formatCode="General">
                  <c:v>0</c:v>
                </c:pt>
                <c:pt idx="33" formatCode="_-&quot;$&quot;* #,##0.00_-;\-&quot;$&quot;* #,##0.00_-;_-&quot;$&quot;* &quot;-&quot;??_-;_-@">
                  <c:v>0</c:v>
                </c:pt>
                <c:pt idx="34">
                  <c:v>0</c:v>
                </c:pt>
                <c:pt idx="36" formatCode="_-&quot;$&quot;* #,##0.00_-;\-&quot;$&quot;* #,##0.00_-;_-&quot;$&quot;* &quot;-&quot;??_-;_-@">
                  <c:v>0</c:v>
                </c:pt>
                <c:pt idx="37" formatCode="_-&quot;$&quot;* #,##0.00_-;\-&quot;$&quot;* #,##0.00_-;_-&quot;$&quot;* &quot;-&quot;??_-;_-@">
                  <c:v>0</c:v>
                </c:pt>
                <c:pt idx="38" formatCode="_-&quot;$&quot;* #,##0.00_-;\-&quot;$&quot;* #,##0.00_-;_-&quot;$&quot;* &quot;-&quot;??_-;_-@">
                  <c:v>0</c:v>
                </c:pt>
                <c:pt idx="39" formatCode="_-&quot;$&quot;* #,##0.00_-;\-&quot;$&quot;* #,##0.00_-;_-&quot;$&quot;* &quot;-&quot;??_-;_-@">
                  <c:v>0</c:v>
                </c:pt>
                <c:pt idx="40" formatCode="_-&quot;$&quot;* #,##0.00_-;\-&quot;$&quot;* #,##0.00_-;_-&quot;$&quot;* &quot;-&quot;??_-;_-@">
                  <c:v>0</c:v>
                </c:pt>
                <c:pt idx="41" formatCode="_-&quot;$&quot;* #,##0.00_-;\-&quot;$&quot;* #,##0.00_-;_-&quot;$&quot;* &quot;-&quot;??_-;_-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C-4F05-9D9A-515AC4C7B70D}"/>
            </c:ext>
          </c:extLst>
        </c:ser>
        <c:ser>
          <c:idx val="1"/>
          <c:order val="1"/>
          <c:tx>
            <c:strRef>
              <c:f>'Mon 20'!$F$1:$F$34</c:f>
              <c:strCache>
                <c:ptCount val="34"/>
                <c:pt idx="0">
                  <c:v>DAILY TILL TAKING SUMMARY</c:v>
                </c:pt>
                <c:pt idx="1">
                  <c:v>B/shop 1 (B2)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SUNDRY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20'!$F$35:$F$78</c:f>
              <c:numCache>
                <c:formatCode>#,##0.00;[Red]\(#,##0.00\)</c:formatCode>
                <c:ptCount val="42"/>
                <c:pt idx="10">
                  <c:v>0</c:v>
                </c:pt>
                <c:pt idx="15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9C-4F05-9D9A-515AC4C7B70D}"/>
            </c:ext>
          </c:extLst>
        </c:ser>
        <c:ser>
          <c:idx val="2"/>
          <c:order val="2"/>
          <c:tx>
            <c:strRef>
              <c:f>'Mon 20'!$G$1:$G$34</c:f>
              <c:strCache>
                <c:ptCount val="34"/>
                <c:pt idx="0">
                  <c:v>DAILY TILL TAKING SUMMARY</c:v>
                </c:pt>
                <c:pt idx="1">
                  <c:v>Gaming Bar
1 (B4)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Particulars &amp; 
Chq #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20'!$G$35:$G$78</c:f>
              <c:numCache>
                <c:formatCode>#,##0.00;[Red]\(#,##0.00\)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3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9C-4F05-9D9A-515AC4C7B70D}"/>
            </c:ext>
          </c:extLst>
        </c:ser>
        <c:ser>
          <c:idx val="3"/>
          <c:order val="3"/>
          <c:tx>
            <c:strRef>
              <c:f>'Mon 20'!$H$1:$H$34</c:f>
              <c:strCache>
                <c:ptCount val="34"/>
                <c:pt idx="0">
                  <c:v>DAILY TILL TAKING SUMMARY</c:v>
                </c:pt>
                <c:pt idx="1">
                  <c:v>Gaming Bar
2 (B5)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Gaming Chq. Amounts (ZW)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20'!$H$35:$H$78</c:f>
              <c:numCache>
                <c:formatCode>#,##0.00;[Red]\(#,##0.00\)</c:formatCode>
                <c:ptCount val="42"/>
                <c:pt idx="10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9C-4F05-9D9A-515AC4C7B70D}"/>
            </c:ext>
          </c:extLst>
        </c:ser>
        <c:ser>
          <c:idx val="4"/>
          <c:order val="4"/>
          <c:tx>
            <c:strRef>
              <c:f>'Mon 20'!$I$1:$I$34</c:f>
              <c:strCache>
                <c:ptCount val="34"/>
                <c:pt idx="0">
                  <c:v>DAILY TILL TAKING SUMMARY</c:v>
                </c:pt>
                <c:pt idx="1">
                  <c:v>Gaming Food
(F2)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Gaming Chq. Numbers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20'!$I$35:$I$78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4-7B9C-4F05-9D9A-515AC4C7B70D}"/>
            </c:ext>
          </c:extLst>
        </c:ser>
        <c:ser>
          <c:idx val="5"/>
          <c:order val="5"/>
          <c:tx>
            <c:strRef>
              <c:f>'Mon 20'!$J$1:$J$34</c:f>
              <c:strCache>
                <c:ptCount val="34"/>
                <c:pt idx="0">
                  <c:v>DAILY TILL TAKING SUMMARY</c:v>
                </c:pt>
                <c:pt idx="1">
                  <c:v>TOTAL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20'!$J$35:$J$78</c:f>
              <c:numCache>
                <c:formatCode>#,##0.00;[Red]\(#,##0.00\)</c:formatCode>
                <c:ptCount val="42"/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9C-4F05-9D9A-515AC4C7B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98528"/>
        <c:axId val="512196232"/>
      </c:barChart>
      <c:catAx>
        <c:axId val="51219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96232"/>
        <c:crosses val="autoZero"/>
        <c:auto val="1"/>
        <c:lblAlgn val="ctr"/>
        <c:lblOffset val="100"/>
        <c:noMultiLvlLbl val="0"/>
      </c:catAx>
      <c:valAx>
        <c:axId val="51219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9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5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86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7E1805-79F6-464B-B61E-FD981ADCAB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00"/>
  <sheetViews>
    <sheetView workbookViewId="0"/>
  </sheetViews>
  <sheetFormatPr defaultColWidth="17.28515625" defaultRowHeight="15" customHeight="1" x14ac:dyDescent="0.2"/>
  <cols>
    <col min="1" max="1" width="12.5703125" customWidth="1"/>
    <col min="2" max="2" width="8" customWidth="1"/>
    <col min="3" max="3" width="27.42578125" customWidth="1"/>
    <col min="4" max="4" width="11.7109375" customWidth="1"/>
    <col min="5" max="5" width="13.5703125" customWidth="1"/>
    <col min="6" max="26" width="8" customWidth="1"/>
  </cols>
  <sheetData>
    <row r="1" spans="1:5" ht="12.75" customHeight="1" x14ac:dyDescent="0.2">
      <c r="A1" s="45" t="s">
        <v>70</v>
      </c>
      <c r="B1" s="45" t="s">
        <v>71</v>
      </c>
      <c r="C1" s="45" t="s">
        <v>72</v>
      </c>
      <c r="D1" s="45" t="s">
        <v>73</v>
      </c>
      <c r="E1" s="45" t="s">
        <v>74</v>
      </c>
    </row>
    <row r="2" spans="1:5" ht="12.75" customHeight="1" x14ac:dyDescent="0.2">
      <c r="A2" s="45"/>
      <c r="B2" s="45"/>
      <c r="C2" s="46"/>
      <c r="D2" s="45"/>
      <c r="E2" s="45" t="s">
        <v>9</v>
      </c>
    </row>
    <row r="3" spans="1:5" ht="12.75" customHeight="1" x14ac:dyDescent="0.2">
      <c r="A3" s="224" t="s">
        <v>75</v>
      </c>
      <c r="B3" s="225"/>
      <c r="C3" s="225"/>
      <c r="D3" s="225"/>
      <c r="E3" s="225"/>
    </row>
    <row r="4" spans="1:5" ht="12.75" customHeight="1" x14ac:dyDescent="0.2">
      <c r="A4" s="47"/>
      <c r="C4" s="46" t="s">
        <v>76</v>
      </c>
      <c r="D4" s="48"/>
      <c r="E4" s="48"/>
    </row>
    <row r="5" spans="1:5" ht="12.75" customHeight="1" x14ac:dyDescent="0.2">
      <c r="A5" s="47"/>
      <c r="B5" s="49">
        <v>2839575</v>
      </c>
      <c r="C5" s="50"/>
      <c r="D5" s="48"/>
      <c r="E5" s="51">
        <f>D5</f>
        <v>0</v>
      </c>
    </row>
    <row r="6" spans="1:5" ht="12.75" customHeight="1" x14ac:dyDescent="0.2">
      <c r="A6" s="47"/>
      <c r="B6" s="49">
        <f t="shared" ref="B6:B33" si="0">B5+1</f>
        <v>2839576</v>
      </c>
      <c r="C6" s="50"/>
      <c r="D6" s="48"/>
      <c r="E6" s="51">
        <f t="shared" ref="E6:E33" si="1">E5+D6</f>
        <v>0</v>
      </c>
    </row>
    <row r="7" spans="1:5" ht="12.75" customHeight="1" x14ac:dyDescent="0.2">
      <c r="A7" s="47"/>
      <c r="B7" s="49">
        <f t="shared" si="0"/>
        <v>2839577</v>
      </c>
      <c r="C7" s="50"/>
      <c r="D7" s="48"/>
      <c r="E7" s="51">
        <f t="shared" si="1"/>
        <v>0</v>
      </c>
    </row>
    <row r="8" spans="1:5" ht="12.75" customHeight="1" x14ac:dyDescent="0.2">
      <c r="A8" s="47"/>
      <c r="B8" s="49">
        <f t="shared" si="0"/>
        <v>2839578</v>
      </c>
      <c r="C8" s="50"/>
      <c r="D8" s="48"/>
      <c r="E8" s="51">
        <f t="shared" si="1"/>
        <v>0</v>
      </c>
    </row>
    <row r="9" spans="1:5" ht="12.75" customHeight="1" x14ac:dyDescent="0.2">
      <c r="A9" s="47"/>
      <c r="B9" s="49">
        <f t="shared" si="0"/>
        <v>2839579</v>
      </c>
      <c r="C9" s="50"/>
      <c r="D9" s="48"/>
      <c r="E9" s="51">
        <f t="shared" si="1"/>
        <v>0</v>
      </c>
    </row>
    <row r="10" spans="1:5" ht="12.75" customHeight="1" x14ac:dyDescent="0.2">
      <c r="A10" s="47"/>
      <c r="B10" s="49">
        <f t="shared" si="0"/>
        <v>2839580</v>
      </c>
      <c r="C10" s="52"/>
      <c r="D10" s="48"/>
      <c r="E10" s="51">
        <f t="shared" si="1"/>
        <v>0</v>
      </c>
    </row>
    <row r="11" spans="1:5" ht="12.75" customHeight="1" x14ac:dyDescent="0.2">
      <c r="A11" s="47"/>
      <c r="B11" s="49">
        <f t="shared" si="0"/>
        <v>2839581</v>
      </c>
      <c r="C11" s="50"/>
      <c r="D11" s="48"/>
      <c r="E11" s="51">
        <f t="shared" si="1"/>
        <v>0</v>
      </c>
    </row>
    <row r="12" spans="1:5" ht="12.75" customHeight="1" x14ac:dyDescent="0.2">
      <c r="A12" s="47"/>
      <c r="B12" s="49">
        <f t="shared" si="0"/>
        <v>2839582</v>
      </c>
      <c r="C12" s="50"/>
      <c r="D12" s="48"/>
      <c r="E12" s="51">
        <f t="shared" si="1"/>
        <v>0</v>
      </c>
    </row>
    <row r="13" spans="1:5" ht="12.75" customHeight="1" x14ac:dyDescent="0.2">
      <c r="A13" s="47"/>
      <c r="B13" s="49">
        <f t="shared" si="0"/>
        <v>2839583</v>
      </c>
      <c r="C13" s="50"/>
      <c r="D13" s="48"/>
      <c r="E13" s="51">
        <f t="shared" si="1"/>
        <v>0</v>
      </c>
    </row>
    <row r="14" spans="1:5" ht="12.75" customHeight="1" x14ac:dyDescent="0.2">
      <c r="A14" s="47"/>
      <c r="B14" s="49">
        <f t="shared" si="0"/>
        <v>2839584</v>
      </c>
      <c r="C14" s="50"/>
      <c r="D14" s="48"/>
      <c r="E14" s="51">
        <f t="shared" si="1"/>
        <v>0</v>
      </c>
    </row>
    <row r="15" spans="1:5" ht="12.75" customHeight="1" x14ac:dyDescent="0.2">
      <c r="A15" s="47"/>
      <c r="B15" s="49">
        <f t="shared" si="0"/>
        <v>2839585</v>
      </c>
      <c r="C15" s="50"/>
      <c r="D15" s="48"/>
      <c r="E15" s="51">
        <f t="shared" si="1"/>
        <v>0</v>
      </c>
    </row>
    <row r="16" spans="1:5" ht="12.75" customHeight="1" x14ac:dyDescent="0.2">
      <c r="A16" s="47"/>
      <c r="B16" s="49">
        <f t="shared" si="0"/>
        <v>2839586</v>
      </c>
      <c r="C16" s="50"/>
      <c r="D16" s="48"/>
      <c r="E16" s="51">
        <f t="shared" si="1"/>
        <v>0</v>
      </c>
    </row>
    <row r="17" spans="1:5" ht="12.75" customHeight="1" x14ac:dyDescent="0.2">
      <c r="A17" s="47"/>
      <c r="B17" s="49">
        <f t="shared" si="0"/>
        <v>2839587</v>
      </c>
      <c r="C17" s="50"/>
      <c r="D17" s="48"/>
      <c r="E17" s="51">
        <f t="shared" si="1"/>
        <v>0</v>
      </c>
    </row>
    <row r="18" spans="1:5" ht="12.75" customHeight="1" x14ac:dyDescent="0.2">
      <c r="A18" s="47"/>
      <c r="B18" s="49">
        <f t="shared" si="0"/>
        <v>2839588</v>
      </c>
      <c r="C18" s="50"/>
      <c r="D18" s="48"/>
      <c r="E18" s="51">
        <f t="shared" si="1"/>
        <v>0</v>
      </c>
    </row>
    <row r="19" spans="1:5" ht="12.75" customHeight="1" x14ac:dyDescent="0.2">
      <c r="A19" s="47"/>
      <c r="B19" s="49">
        <f t="shared" si="0"/>
        <v>2839589</v>
      </c>
      <c r="C19" s="50"/>
      <c r="D19" s="48"/>
      <c r="E19" s="51">
        <f t="shared" si="1"/>
        <v>0</v>
      </c>
    </row>
    <row r="20" spans="1:5" ht="12.75" customHeight="1" x14ac:dyDescent="0.2">
      <c r="A20" s="47"/>
      <c r="B20" s="49">
        <f t="shared" si="0"/>
        <v>2839590</v>
      </c>
      <c r="C20" s="50"/>
      <c r="D20" s="48"/>
      <c r="E20" s="51">
        <f t="shared" si="1"/>
        <v>0</v>
      </c>
    </row>
    <row r="21" spans="1:5" ht="12.75" customHeight="1" x14ac:dyDescent="0.2">
      <c r="A21" s="47"/>
      <c r="B21" s="49">
        <f t="shared" si="0"/>
        <v>2839591</v>
      </c>
      <c r="C21" s="50"/>
      <c r="D21" s="48"/>
      <c r="E21" s="51">
        <f t="shared" si="1"/>
        <v>0</v>
      </c>
    </row>
    <row r="22" spans="1:5" ht="12.75" customHeight="1" x14ac:dyDescent="0.2">
      <c r="A22" s="47"/>
      <c r="B22" s="49">
        <f t="shared" si="0"/>
        <v>2839592</v>
      </c>
      <c r="C22" s="50"/>
      <c r="D22" s="48"/>
      <c r="E22" s="51">
        <f t="shared" si="1"/>
        <v>0</v>
      </c>
    </row>
    <row r="23" spans="1:5" ht="12.75" customHeight="1" x14ac:dyDescent="0.2">
      <c r="A23" s="47"/>
      <c r="B23" s="49">
        <f t="shared" si="0"/>
        <v>2839593</v>
      </c>
      <c r="C23" s="50"/>
      <c r="D23" s="48"/>
      <c r="E23" s="51">
        <f t="shared" si="1"/>
        <v>0</v>
      </c>
    </row>
    <row r="24" spans="1:5" ht="12.75" customHeight="1" x14ac:dyDescent="0.2">
      <c r="A24" s="47"/>
      <c r="B24" s="49">
        <f t="shared" si="0"/>
        <v>2839594</v>
      </c>
      <c r="C24" s="50"/>
      <c r="D24" s="48"/>
      <c r="E24" s="51">
        <f t="shared" si="1"/>
        <v>0</v>
      </c>
    </row>
    <row r="25" spans="1:5" ht="12.75" customHeight="1" x14ac:dyDescent="0.2">
      <c r="A25" s="47"/>
      <c r="B25" s="49">
        <f t="shared" si="0"/>
        <v>2839595</v>
      </c>
      <c r="C25" s="50"/>
      <c r="D25" s="48"/>
      <c r="E25" s="51">
        <f t="shared" si="1"/>
        <v>0</v>
      </c>
    </row>
    <row r="26" spans="1:5" ht="12.75" customHeight="1" x14ac:dyDescent="0.2">
      <c r="A26" s="47"/>
      <c r="B26" s="49">
        <f t="shared" si="0"/>
        <v>2839596</v>
      </c>
      <c r="C26" s="50"/>
      <c r="D26" s="48"/>
      <c r="E26" s="51">
        <f t="shared" si="1"/>
        <v>0</v>
      </c>
    </row>
    <row r="27" spans="1:5" ht="12.75" customHeight="1" x14ac:dyDescent="0.2">
      <c r="A27" s="47"/>
      <c r="B27" s="49">
        <f t="shared" si="0"/>
        <v>2839597</v>
      </c>
      <c r="C27" s="50"/>
      <c r="D27" s="48"/>
      <c r="E27" s="51">
        <f t="shared" si="1"/>
        <v>0</v>
      </c>
    </row>
    <row r="28" spans="1:5" ht="12.75" customHeight="1" x14ac:dyDescent="0.2">
      <c r="A28" s="47"/>
      <c r="B28" s="49">
        <f t="shared" si="0"/>
        <v>2839598</v>
      </c>
      <c r="C28" s="50"/>
      <c r="D28" s="48"/>
      <c r="E28" s="51">
        <f t="shared" si="1"/>
        <v>0</v>
      </c>
    </row>
    <row r="29" spans="1:5" ht="12.75" customHeight="1" x14ac:dyDescent="0.2">
      <c r="A29" s="47"/>
      <c r="B29" s="49">
        <f t="shared" si="0"/>
        <v>2839599</v>
      </c>
      <c r="C29" s="50"/>
      <c r="D29" s="48"/>
      <c r="E29" s="51">
        <f t="shared" si="1"/>
        <v>0</v>
      </c>
    </row>
    <row r="30" spans="1:5" ht="12.75" customHeight="1" x14ac:dyDescent="0.2">
      <c r="A30" s="47"/>
      <c r="B30" s="49">
        <f t="shared" si="0"/>
        <v>2839600</v>
      </c>
      <c r="C30" s="50"/>
      <c r="D30" s="48"/>
      <c r="E30" s="51">
        <f t="shared" si="1"/>
        <v>0</v>
      </c>
    </row>
    <row r="31" spans="1:5" ht="12.75" customHeight="1" x14ac:dyDescent="0.2">
      <c r="A31" s="47"/>
      <c r="B31" s="49">
        <f t="shared" si="0"/>
        <v>2839601</v>
      </c>
      <c r="C31" s="50"/>
      <c r="D31" s="48"/>
      <c r="E31" s="51">
        <f t="shared" si="1"/>
        <v>0</v>
      </c>
    </row>
    <row r="32" spans="1:5" ht="12.75" customHeight="1" x14ac:dyDescent="0.2">
      <c r="A32" s="53"/>
      <c r="B32" s="49">
        <f t="shared" si="0"/>
        <v>2839602</v>
      </c>
      <c r="C32" s="53"/>
      <c r="D32" s="53"/>
      <c r="E32" s="51">
        <f t="shared" si="1"/>
        <v>0</v>
      </c>
    </row>
    <row r="33" spans="1:5" ht="12.75" customHeight="1" x14ac:dyDescent="0.2">
      <c r="A33" s="53"/>
      <c r="B33" s="49">
        <f t="shared" si="0"/>
        <v>2839603</v>
      </c>
      <c r="C33" s="53"/>
      <c r="D33" s="53"/>
      <c r="E33" s="51">
        <f t="shared" si="1"/>
        <v>0</v>
      </c>
    </row>
    <row r="34" spans="1:5" ht="12.75" customHeight="1" x14ac:dyDescent="0.2">
      <c r="A34" s="53"/>
      <c r="B34" s="49"/>
      <c r="C34" s="53"/>
      <c r="D34" s="53"/>
      <c r="E34" s="51"/>
    </row>
    <row r="35" spans="1:5" ht="12.75" customHeight="1" x14ac:dyDescent="0.2">
      <c r="A35" s="53"/>
      <c r="B35" s="49"/>
      <c r="C35" s="53"/>
      <c r="D35" s="53"/>
      <c r="E35" s="51"/>
    </row>
    <row r="36" spans="1:5" ht="12.75" customHeight="1" x14ac:dyDescent="0.2">
      <c r="A36" s="53"/>
      <c r="B36" s="49"/>
      <c r="C36" s="53"/>
      <c r="D36" s="53"/>
      <c r="E36" s="51"/>
    </row>
    <row r="37" spans="1:5" ht="12.75" customHeight="1" x14ac:dyDescent="0.2">
      <c r="A37" s="53"/>
      <c r="B37" s="49"/>
      <c r="C37" s="53"/>
      <c r="D37" s="53"/>
      <c r="E37" s="51"/>
    </row>
    <row r="38" spans="1:5" ht="12.75" customHeight="1" x14ac:dyDescent="0.2">
      <c r="A38" s="53"/>
      <c r="B38" s="49"/>
      <c r="C38" s="53"/>
      <c r="D38" s="53"/>
      <c r="E38" s="51"/>
    </row>
    <row r="39" spans="1:5" ht="12.75" customHeight="1" x14ac:dyDescent="0.2">
      <c r="A39" s="53"/>
      <c r="B39" s="49"/>
      <c r="C39" s="53"/>
      <c r="D39" s="53"/>
      <c r="E39" s="51"/>
    </row>
    <row r="40" spans="1:5" ht="12.75" customHeight="1" x14ac:dyDescent="0.2">
      <c r="A40" s="53"/>
      <c r="B40" s="49"/>
      <c r="C40" s="53"/>
      <c r="D40" s="53"/>
      <c r="E40" s="51"/>
    </row>
    <row r="41" spans="1:5" ht="12.75" customHeight="1" x14ac:dyDescent="0.2">
      <c r="A41" s="53"/>
      <c r="B41" s="49"/>
      <c r="C41" s="53"/>
      <c r="D41" s="53"/>
      <c r="E41" s="51"/>
    </row>
    <row r="42" spans="1:5" ht="12.75" customHeight="1" x14ac:dyDescent="0.2">
      <c r="A42" s="53"/>
      <c r="B42" s="49"/>
      <c r="C42" s="53"/>
      <c r="D42" s="53"/>
      <c r="E42" s="51"/>
    </row>
    <row r="43" spans="1:5" ht="12.75" customHeight="1" x14ac:dyDescent="0.2">
      <c r="A43" s="53"/>
      <c r="B43" s="49"/>
      <c r="C43" s="53"/>
      <c r="D43" s="53"/>
      <c r="E43" s="51"/>
    </row>
    <row r="44" spans="1:5" ht="12.75" customHeight="1" x14ac:dyDescent="0.2">
      <c r="A44" s="53"/>
      <c r="C44" s="53"/>
      <c r="D44" s="53"/>
      <c r="E44" s="48"/>
    </row>
    <row r="45" spans="1:5" ht="12.75" customHeight="1" x14ac:dyDescent="0.2">
      <c r="A45" s="53"/>
      <c r="C45" s="53"/>
      <c r="D45" s="53"/>
      <c r="E45" s="53"/>
    </row>
    <row r="46" spans="1:5" ht="12.75" customHeight="1" x14ac:dyDescent="0.2">
      <c r="A46" s="53"/>
      <c r="C46" s="53"/>
      <c r="D46" s="53"/>
      <c r="E46" s="53"/>
    </row>
    <row r="47" spans="1:5" ht="12.75" customHeight="1" x14ac:dyDescent="0.2">
      <c r="A47" s="53"/>
      <c r="C47" s="53"/>
      <c r="D47" s="53"/>
      <c r="E47" s="53"/>
    </row>
    <row r="48" spans="1:5" ht="12.75" customHeight="1" x14ac:dyDescent="0.2">
      <c r="A48" s="53"/>
      <c r="C48" s="53"/>
      <c r="D48" s="53"/>
      <c r="E48" s="53"/>
    </row>
    <row r="49" spans="1:5" ht="12.75" customHeight="1" x14ac:dyDescent="0.2">
      <c r="A49" s="53"/>
      <c r="C49" s="53"/>
      <c r="D49" s="53"/>
      <c r="E49" s="53"/>
    </row>
    <row r="50" spans="1:5" ht="12.75" customHeight="1" x14ac:dyDescent="0.2">
      <c r="A50" s="53"/>
      <c r="C50" s="53"/>
      <c r="D50" s="53"/>
      <c r="E50" s="53"/>
    </row>
    <row r="51" spans="1:5" ht="12.75" customHeight="1" x14ac:dyDescent="0.2">
      <c r="A51" s="53"/>
      <c r="C51" s="53"/>
      <c r="D51" s="53"/>
      <c r="E51" s="53"/>
    </row>
    <row r="52" spans="1:5" ht="12.75" customHeight="1" x14ac:dyDescent="0.2">
      <c r="A52" s="53"/>
      <c r="C52" s="53"/>
      <c r="D52" s="53"/>
      <c r="E52" s="53"/>
    </row>
    <row r="53" spans="1:5" ht="12.75" customHeight="1" x14ac:dyDescent="0.2">
      <c r="A53" s="53"/>
      <c r="C53" s="53"/>
      <c r="D53" s="53"/>
      <c r="E53" s="53"/>
    </row>
    <row r="54" spans="1:5" ht="12.75" customHeight="1" x14ac:dyDescent="0.2">
      <c r="A54" s="53"/>
      <c r="C54" s="53"/>
      <c r="D54" s="53"/>
      <c r="E54" s="53"/>
    </row>
    <row r="55" spans="1:5" ht="12.75" customHeight="1" x14ac:dyDescent="0.2">
      <c r="A55" s="53"/>
      <c r="C55" s="53"/>
      <c r="D55" s="53"/>
      <c r="E55" s="53"/>
    </row>
    <row r="56" spans="1:5" ht="12.75" customHeight="1" x14ac:dyDescent="0.2">
      <c r="A56" s="53"/>
      <c r="C56" s="53"/>
      <c r="D56" s="53"/>
      <c r="E56" s="53"/>
    </row>
    <row r="57" spans="1:5" ht="12.75" customHeight="1" x14ac:dyDescent="0.2">
      <c r="A57" s="53"/>
      <c r="C57" s="53"/>
      <c r="D57" s="53"/>
      <c r="E57" s="53"/>
    </row>
    <row r="58" spans="1:5" ht="12.75" customHeight="1" x14ac:dyDescent="0.2">
      <c r="A58" s="53"/>
      <c r="C58" s="53"/>
      <c r="D58" s="53"/>
      <c r="E58" s="53"/>
    </row>
    <row r="59" spans="1:5" ht="12.75" customHeight="1" x14ac:dyDescent="0.2">
      <c r="A59" s="53"/>
      <c r="C59" s="53"/>
      <c r="D59" s="53"/>
      <c r="E59" s="53"/>
    </row>
    <row r="60" spans="1:5" ht="12.75" customHeight="1" x14ac:dyDescent="0.2">
      <c r="A60" s="53"/>
      <c r="C60" s="53"/>
      <c r="D60" s="53"/>
      <c r="E60" s="53"/>
    </row>
    <row r="61" spans="1:5" ht="12.75" customHeight="1" x14ac:dyDescent="0.2">
      <c r="A61" s="53"/>
      <c r="C61" s="53"/>
      <c r="D61" s="53"/>
      <c r="E61" s="53"/>
    </row>
    <row r="62" spans="1:5" ht="12.75" customHeight="1" x14ac:dyDescent="0.2">
      <c r="A62" s="53"/>
      <c r="C62" s="53"/>
      <c r="D62" s="53"/>
      <c r="E62" s="53"/>
    </row>
    <row r="63" spans="1:5" ht="12.75" customHeight="1" x14ac:dyDescent="0.2">
      <c r="A63" s="53"/>
      <c r="C63" s="53"/>
      <c r="D63" s="53"/>
      <c r="E63" s="53"/>
    </row>
    <row r="64" spans="1:5" ht="12.75" customHeight="1" x14ac:dyDescent="0.2">
      <c r="A64" s="53"/>
      <c r="C64" s="53"/>
      <c r="D64" s="53"/>
      <c r="E64" s="53"/>
    </row>
    <row r="65" spans="1:5" ht="12.75" customHeight="1" x14ac:dyDescent="0.2">
      <c r="A65" s="53"/>
      <c r="C65" s="53"/>
      <c r="D65" s="53"/>
      <c r="E65" s="53"/>
    </row>
    <row r="66" spans="1:5" ht="12.75" customHeight="1" x14ac:dyDescent="0.2">
      <c r="A66" s="53"/>
      <c r="C66" s="53"/>
      <c r="D66" s="53"/>
      <c r="E66" s="53"/>
    </row>
    <row r="67" spans="1:5" ht="12.75" customHeight="1" x14ac:dyDescent="0.2">
      <c r="A67" s="53"/>
      <c r="C67" s="53"/>
      <c r="D67" s="53"/>
      <c r="E67" s="53"/>
    </row>
    <row r="68" spans="1:5" ht="12.75" customHeight="1" x14ac:dyDescent="0.2">
      <c r="A68" s="53"/>
      <c r="C68" s="53"/>
      <c r="D68" s="53"/>
      <c r="E68" s="53"/>
    </row>
    <row r="69" spans="1:5" ht="12.75" customHeight="1" x14ac:dyDescent="0.2">
      <c r="A69" s="53"/>
      <c r="C69" s="53"/>
      <c r="D69" s="53"/>
      <c r="E69" s="53"/>
    </row>
    <row r="70" spans="1:5" ht="12.75" customHeight="1" x14ac:dyDescent="0.2">
      <c r="A70" s="53"/>
      <c r="C70" s="53"/>
      <c r="D70" s="53"/>
      <c r="E70" s="53"/>
    </row>
    <row r="71" spans="1:5" ht="12.75" customHeight="1" x14ac:dyDescent="0.2">
      <c r="A71" s="53"/>
      <c r="C71" s="53"/>
      <c r="D71" s="53"/>
      <c r="E71" s="53"/>
    </row>
    <row r="72" spans="1:5" ht="12.75" customHeight="1" x14ac:dyDescent="0.2">
      <c r="A72" s="53"/>
      <c r="C72" s="53"/>
      <c r="D72" s="53"/>
      <c r="E72" s="53"/>
    </row>
    <row r="73" spans="1:5" ht="12.75" customHeight="1" x14ac:dyDescent="0.2">
      <c r="A73" s="53"/>
      <c r="C73" s="53"/>
      <c r="D73" s="53"/>
      <c r="E73" s="53"/>
    </row>
    <row r="74" spans="1:5" ht="12.75" customHeight="1" x14ac:dyDescent="0.2">
      <c r="A74" s="53"/>
      <c r="C74" s="53"/>
      <c r="D74" s="53"/>
      <c r="E74" s="53"/>
    </row>
    <row r="75" spans="1:5" ht="12.75" customHeight="1" x14ac:dyDescent="0.2">
      <c r="A75" s="53"/>
      <c r="C75" s="53"/>
      <c r="D75" s="53"/>
      <c r="E75" s="53"/>
    </row>
    <row r="76" spans="1:5" ht="12.75" customHeight="1" x14ac:dyDescent="0.2">
      <c r="A76" s="53"/>
      <c r="C76" s="53"/>
      <c r="D76" s="53"/>
      <c r="E76" s="53"/>
    </row>
    <row r="77" spans="1:5" ht="12.75" customHeight="1" x14ac:dyDescent="0.2">
      <c r="A77" s="53"/>
      <c r="C77" s="53"/>
      <c r="D77" s="53"/>
      <c r="E77" s="53"/>
    </row>
    <row r="78" spans="1:5" ht="12.75" customHeight="1" x14ac:dyDescent="0.2">
      <c r="A78" s="53"/>
      <c r="C78" s="53"/>
      <c r="D78" s="53"/>
      <c r="E78" s="53"/>
    </row>
    <row r="79" spans="1:5" ht="12.75" customHeight="1" x14ac:dyDescent="0.2">
      <c r="A79" s="53"/>
      <c r="C79" s="53"/>
      <c r="D79" s="53"/>
      <c r="E79" s="53"/>
    </row>
    <row r="80" spans="1:5" ht="12.75" customHeight="1" x14ac:dyDescent="0.2">
      <c r="A80" s="53"/>
      <c r="C80" s="53"/>
      <c r="D80" s="53"/>
      <c r="E80" s="53"/>
    </row>
    <row r="81" spans="1:5" ht="12.75" customHeight="1" x14ac:dyDescent="0.2">
      <c r="A81" s="53"/>
      <c r="C81" s="53"/>
      <c r="D81" s="53"/>
      <c r="E81" s="53"/>
    </row>
    <row r="82" spans="1:5" ht="12.75" customHeight="1" x14ac:dyDescent="0.2">
      <c r="A82" s="53"/>
      <c r="C82" s="53"/>
      <c r="D82" s="53"/>
      <c r="E82" s="53"/>
    </row>
    <row r="83" spans="1:5" ht="12.75" customHeight="1" x14ac:dyDescent="0.2">
      <c r="A83" s="53"/>
      <c r="C83" s="53"/>
      <c r="D83" s="53"/>
      <c r="E83" s="53"/>
    </row>
    <row r="84" spans="1:5" ht="12.75" customHeight="1" x14ac:dyDescent="0.2">
      <c r="A84" s="53"/>
      <c r="C84" s="53"/>
      <c r="D84" s="53"/>
      <c r="E84" s="53"/>
    </row>
    <row r="85" spans="1:5" ht="12.75" customHeight="1" x14ac:dyDescent="0.2">
      <c r="A85" s="53"/>
      <c r="C85" s="53"/>
      <c r="D85" s="53"/>
      <c r="E85" s="53"/>
    </row>
    <row r="86" spans="1:5" ht="12.75" customHeight="1" x14ac:dyDescent="0.2">
      <c r="A86" s="53"/>
      <c r="C86" s="53"/>
      <c r="D86" s="53"/>
      <c r="E86" s="53"/>
    </row>
    <row r="87" spans="1:5" ht="12.75" customHeight="1" x14ac:dyDescent="0.2">
      <c r="A87" s="53"/>
      <c r="C87" s="53"/>
      <c r="D87" s="53"/>
      <c r="E87" s="53"/>
    </row>
    <row r="88" spans="1:5" ht="12.75" customHeight="1" x14ac:dyDescent="0.2">
      <c r="A88" s="53"/>
      <c r="C88" s="53"/>
      <c r="D88" s="53"/>
      <c r="E88" s="53"/>
    </row>
    <row r="89" spans="1:5" ht="12.75" customHeight="1" x14ac:dyDescent="0.2">
      <c r="A89" s="53"/>
      <c r="C89" s="53"/>
      <c r="D89" s="53"/>
      <c r="E89" s="53"/>
    </row>
    <row r="90" spans="1:5" ht="12.75" customHeight="1" x14ac:dyDescent="0.2">
      <c r="A90" s="53"/>
      <c r="C90" s="53"/>
      <c r="D90" s="53"/>
      <c r="E90" s="53"/>
    </row>
    <row r="91" spans="1:5" ht="12.75" customHeight="1" x14ac:dyDescent="0.2">
      <c r="A91" s="53"/>
      <c r="C91" s="53"/>
      <c r="D91" s="53"/>
      <c r="E91" s="53"/>
    </row>
    <row r="92" spans="1:5" ht="12.75" customHeight="1" x14ac:dyDescent="0.2">
      <c r="A92" s="53"/>
      <c r="C92" s="53"/>
      <c r="D92" s="53"/>
      <c r="E92" s="53"/>
    </row>
    <row r="93" spans="1:5" ht="12.75" customHeight="1" x14ac:dyDescent="0.2">
      <c r="A93" s="53"/>
      <c r="C93" s="53"/>
      <c r="D93" s="53"/>
      <c r="E93" s="53"/>
    </row>
    <row r="94" spans="1:5" ht="12.75" customHeight="1" x14ac:dyDescent="0.2">
      <c r="A94" s="53"/>
      <c r="C94" s="53"/>
      <c r="D94" s="53"/>
      <c r="E94" s="53"/>
    </row>
    <row r="95" spans="1:5" ht="12.75" customHeight="1" x14ac:dyDescent="0.2">
      <c r="A95" s="53"/>
      <c r="C95" s="53"/>
      <c r="D95" s="53"/>
      <c r="E95" s="53"/>
    </row>
    <row r="96" spans="1:5" ht="12.75" customHeight="1" x14ac:dyDescent="0.2">
      <c r="A96" s="53"/>
      <c r="C96" s="53"/>
      <c r="D96" s="53"/>
      <c r="E96" s="53"/>
    </row>
    <row r="97" spans="1:5" ht="12.75" customHeight="1" x14ac:dyDescent="0.2">
      <c r="A97" s="53"/>
      <c r="C97" s="53"/>
      <c r="D97" s="53"/>
      <c r="E97" s="53"/>
    </row>
    <row r="98" spans="1:5" ht="12.75" customHeight="1" x14ac:dyDescent="0.2">
      <c r="A98" s="53"/>
      <c r="C98" s="53"/>
      <c r="D98" s="53"/>
      <c r="E98" s="53"/>
    </row>
    <row r="99" spans="1:5" ht="12.75" customHeight="1" x14ac:dyDescent="0.2">
      <c r="A99" s="53"/>
      <c r="C99" s="53"/>
      <c r="D99" s="53"/>
      <c r="E99" s="53"/>
    </row>
    <row r="100" spans="1:5" ht="12.75" customHeight="1" x14ac:dyDescent="0.2">
      <c r="A100" s="53"/>
      <c r="C100" s="53"/>
      <c r="D100" s="53"/>
      <c r="E100" s="53"/>
    </row>
    <row r="101" spans="1:5" ht="12.75" customHeight="1" x14ac:dyDescent="0.2">
      <c r="A101" s="53"/>
      <c r="C101" s="53"/>
      <c r="D101" s="53"/>
      <c r="E101" s="53"/>
    </row>
    <row r="102" spans="1:5" ht="12.75" customHeight="1" x14ac:dyDescent="0.2">
      <c r="A102" s="53"/>
      <c r="C102" s="53"/>
      <c r="D102" s="53"/>
      <c r="E102" s="53"/>
    </row>
    <row r="103" spans="1:5" ht="12.75" customHeight="1" x14ac:dyDescent="0.2">
      <c r="A103" s="53"/>
      <c r="C103" s="53"/>
      <c r="D103" s="53"/>
      <c r="E103" s="53"/>
    </row>
    <row r="104" spans="1:5" ht="12.75" customHeight="1" x14ac:dyDescent="0.2">
      <c r="A104" s="53"/>
      <c r="C104" s="53"/>
      <c r="D104" s="53"/>
      <c r="E104" s="53"/>
    </row>
    <row r="105" spans="1:5" ht="12.75" customHeight="1" x14ac:dyDescent="0.2">
      <c r="A105" s="53"/>
      <c r="C105" s="53"/>
      <c r="D105" s="53"/>
      <c r="E105" s="53"/>
    </row>
    <row r="106" spans="1:5" ht="12.75" customHeight="1" x14ac:dyDescent="0.2">
      <c r="A106" s="53"/>
      <c r="C106" s="53"/>
      <c r="D106" s="53"/>
      <c r="E106" s="53"/>
    </row>
    <row r="107" spans="1:5" ht="12.75" customHeight="1" x14ac:dyDescent="0.2">
      <c r="A107" s="53"/>
      <c r="C107" s="53"/>
      <c r="D107" s="53"/>
      <c r="E107" s="53"/>
    </row>
    <row r="108" spans="1:5" ht="12.75" customHeight="1" x14ac:dyDescent="0.2">
      <c r="A108" s="53"/>
      <c r="C108" s="53"/>
      <c r="D108" s="53"/>
      <c r="E108" s="53"/>
    </row>
    <row r="109" spans="1:5" ht="12.75" customHeight="1" x14ac:dyDescent="0.2">
      <c r="A109" s="53"/>
      <c r="C109" s="53"/>
      <c r="D109" s="53"/>
      <c r="E109" s="53"/>
    </row>
    <row r="110" spans="1:5" ht="12.75" customHeight="1" x14ac:dyDescent="0.2">
      <c r="A110" s="53"/>
      <c r="C110" s="53"/>
      <c r="D110" s="53"/>
      <c r="E110" s="53"/>
    </row>
    <row r="111" spans="1:5" ht="12.75" customHeight="1" x14ac:dyDescent="0.2">
      <c r="A111" s="53"/>
      <c r="C111" s="53"/>
      <c r="D111" s="53"/>
      <c r="E111" s="53"/>
    </row>
    <row r="112" spans="1:5" ht="12.75" customHeight="1" x14ac:dyDescent="0.2">
      <c r="A112" s="53"/>
      <c r="C112" s="53"/>
      <c r="D112" s="53"/>
      <c r="E112" s="53"/>
    </row>
    <row r="113" spans="1:5" ht="12.75" customHeight="1" x14ac:dyDescent="0.2">
      <c r="A113" s="53"/>
      <c r="C113" s="53"/>
      <c r="D113" s="53"/>
      <c r="E113" s="53"/>
    </row>
    <row r="114" spans="1:5" ht="12.75" customHeight="1" x14ac:dyDescent="0.2">
      <c r="A114" s="53"/>
      <c r="C114" s="53"/>
      <c r="D114" s="53"/>
      <c r="E114" s="53"/>
    </row>
    <row r="115" spans="1:5" ht="12.75" customHeight="1" x14ac:dyDescent="0.2">
      <c r="A115" s="53"/>
      <c r="C115" s="53"/>
      <c r="D115" s="53"/>
      <c r="E115" s="53"/>
    </row>
    <row r="116" spans="1:5" ht="12.75" customHeight="1" x14ac:dyDescent="0.2">
      <c r="A116" s="53"/>
      <c r="C116" s="53"/>
      <c r="D116" s="53"/>
      <c r="E116" s="53"/>
    </row>
    <row r="117" spans="1:5" ht="12.75" customHeight="1" x14ac:dyDescent="0.2">
      <c r="A117" s="53"/>
      <c r="C117" s="53"/>
      <c r="D117" s="53"/>
      <c r="E117" s="53"/>
    </row>
    <row r="118" spans="1:5" ht="12.75" customHeight="1" x14ac:dyDescent="0.2">
      <c r="A118" s="53"/>
      <c r="C118" s="53"/>
      <c r="D118" s="53"/>
      <c r="E118" s="53"/>
    </row>
    <row r="119" spans="1:5" ht="12.75" customHeight="1" x14ac:dyDescent="0.2">
      <c r="A119" s="53"/>
      <c r="C119" s="53"/>
      <c r="D119" s="53"/>
      <c r="E119" s="53"/>
    </row>
    <row r="120" spans="1:5" ht="12.75" customHeight="1" x14ac:dyDescent="0.2">
      <c r="A120" s="53"/>
      <c r="C120" s="53"/>
      <c r="D120" s="53"/>
      <c r="E120" s="53"/>
    </row>
    <row r="121" spans="1:5" ht="12.75" customHeight="1" x14ac:dyDescent="0.2">
      <c r="A121" s="53"/>
      <c r="C121" s="53"/>
      <c r="D121" s="53"/>
      <c r="E121" s="53"/>
    </row>
    <row r="122" spans="1:5" ht="12.75" customHeight="1" x14ac:dyDescent="0.2">
      <c r="A122" s="53"/>
      <c r="C122" s="53"/>
      <c r="D122" s="53"/>
      <c r="E122" s="53"/>
    </row>
    <row r="123" spans="1:5" ht="12.75" customHeight="1" x14ac:dyDescent="0.2">
      <c r="A123" s="53"/>
      <c r="C123" s="53"/>
      <c r="D123" s="53"/>
      <c r="E123" s="53"/>
    </row>
    <row r="124" spans="1:5" ht="12.75" customHeight="1" x14ac:dyDescent="0.2">
      <c r="A124" s="53"/>
      <c r="C124" s="53"/>
      <c r="D124" s="53"/>
      <c r="E124" s="53"/>
    </row>
    <row r="125" spans="1:5" ht="12.75" customHeight="1" x14ac:dyDescent="0.2">
      <c r="A125" s="53"/>
      <c r="C125" s="53"/>
      <c r="D125" s="53"/>
      <c r="E125" s="53"/>
    </row>
    <row r="126" spans="1:5" ht="12.75" customHeight="1" x14ac:dyDescent="0.2">
      <c r="A126" s="53"/>
      <c r="C126" s="53"/>
      <c r="D126" s="53"/>
      <c r="E126" s="53"/>
    </row>
    <row r="127" spans="1:5" ht="12.75" customHeight="1" x14ac:dyDescent="0.2">
      <c r="A127" s="53"/>
      <c r="C127" s="53"/>
      <c r="D127" s="53"/>
      <c r="E127" s="53"/>
    </row>
    <row r="128" spans="1:5" ht="12.75" customHeight="1" x14ac:dyDescent="0.2">
      <c r="A128" s="53"/>
      <c r="C128" s="53"/>
      <c r="D128" s="53"/>
      <c r="E128" s="53"/>
    </row>
    <row r="129" spans="1:5" ht="12.75" customHeight="1" x14ac:dyDescent="0.2">
      <c r="A129" s="53"/>
      <c r="C129" s="53"/>
      <c r="D129" s="53"/>
      <c r="E129" s="53"/>
    </row>
    <row r="130" spans="1:5" ht="12.75" customHeight="1" x14ac:dyDescent="0.2">
      <c r="A130" s="53"/>
      <c r="C130" s="53"/>
      <c r="D130" s="53"/>
      <c r="E130" s="53"/>
    </row>
    <row r="131" spans="1:5" ht="12.75" customHeight="1" x14ac:dyDescent="0.2">
      <c r="A131" s="53"/>
      <c r="C131" s="53"/>
      <c r="D131" s="53"/>
      <c r="E131" s="53"/>
    </row>
    <row r="132" spans="1:5" ht="12.75" customHeight="1" x14ac:dyDescent="0.2">
      <c r="A132" s="53"/>
      <c r="C132" s="53"/>
      <c r="D132" s="53"/>
      <c r="E132" s="53"/>
    </row>
    <row r="133" spans="1:5" ht="12.75" customHeight="1" x14ac:dyDescent="0.2">
      <c r="A133" s="53"/>
      <c r="C133" s="53"/>
      <c r="D133" s="53"/>
      <c r="E133" s="53"/>
    </row>
    <row r="134" spans="1:5" ht="12.75" customHeight="1" x14ac:dyDescent="0.2">
      <c r="A134" s="53"/>
      <c r="C134" s="53"/>
      <c r="D134" s="53"/>
      <c r="E134" s="53"/>
    </row>
    <row r="135" spans="1:5" ht="12.75" customHeight="1" x14ac:dyDescent="0.2">
      <c r="A135" s="53"/>
      <c r="C135" s="53"/>
      <c r="D135" s="53"/>
      <c r="E135" s="53"/>
    </row>
    <row r="136" spans="1:5" ht="12.75" customHeight="1" x14ac:dyDescent="0.2">
      <c r="A136" s="53"/>
      <c r="C136" s="53"/>
      <c r="D136" s="53"/>
      <c r="E136" s="53"/>
    </row>
    <row r="137" spans="1:5" ht="12.75" customHeight="1" x14ac:dyDescent="0.2">
      <c r="A137" s="53"/>
      <c r="C137" s="53"/>
      <c r="D137" s="53"/>
      <c r="E137" s="53"/>
    </row>
    <row r="138" spans="1:5" ht="12.75" customHeight="1" x14ac:dyDescent="0.2">
      <c r="A138" s="53"/>
      <c r="C138" s="53"/>
      <c r="D138" s="53"/>
      <c r="E138" s="53"/>
    </row>
    <row r="139" spans="1:5" ht="12.75" customHeight="1" x14ac:dyDescent="0.2">
      <c r="A139" s="53"/>
      <c r="C139" s="53"/>
      <c r="D139" s="53"/>
      <c r="E139" s="53"/>
    </row>
    <row r="140" spans="1:5" ht="12.75" customHeight="1" x14ac:dyDescent="0.2">
      <c r="A140" s="53"/>
      <c r="C140" s="53"/>
      <c r="D140" s="53"/>
      <c r="E140" s="53"/>
    </row>
    <row r="141" spans="1:5" ht="12.75" customHeight="1" x14ac:dyDescent="0.2">
      <c r="A141" s="53"/>
      <c r="C141" s="53"/>
      <c r="D141" s="53"/>
      <c r="E141" s="53"/>
    </row>
    <row r="142" spans="1:5" ht="12.75" customHeight="1" x14ac:dyDescent="0.2">
      <c r="A142" s="53"/>
      <c r="C142" s="53"/>
      <c r="D142" s="53"/>
      <c r="E142" s="53"/>
    </row>
    <row r="143" spans="1:5" ht="12.75" customHeight="1" x14ac:dyDescent="0.2">
      <c r="A143" s="53"/>
      <c r="C143" s="53"/>
      <c r="D143" s="53"/>
      <c r="E143" s="53"/>
    </row>
    <row r="144" spans="1:5" ht="12.75" customHeight="1" x14ac:dyDescent="0.2">
      <c r="A144" s="53"/>
      <c r="C144" s="53"/>
      <c r="D144" s="53"/>
      <c r="E144" s="53"/>
    </row>
    <row r="145" spans="1:5" ht="12.75" customHeight="1" x14ac:dyDescent="0.2">
      <c r="A145" s="53"/>
      <c r="C145" s="53"/>
      <c r="D145" s="53"/>
      <c r="E145" s="53"/>
    </row>
    <row r="146" spans="1:5" ht="12.75" customHeight="1" x14ac:dyDescent="0.2">
      <c r="A146" s="53"/>
      <c r="C146" s="53"/>
      <c r="D146" s="53"/>
      <c r="E146" s="53"/>
    </row>
    <row r="147" spans="1:5" ht="12.75" customHeight="1" x14ac:dyDescent="0.2">
      <c r="A147" s="53"/>
      <c r="C147" s="53"/>
      <c r="D147" s="53"/>
      <c r="E147" s="53"/>
    </row>
    <row r="148" spans="1:5" ht="12.75" customHeight="1" x14ac:dyDescent="0.2">
      <c r="A148" s="53"/>
      <c r="C148" s="53"/>
      <c r="D148" s="53"/>
      <c r="E148" s="53"/>
    </row>
    <row r="149" spans="1:5" ht="12.75" customHeight="1" x14ac:dyDescent="0.2">
      <c r="A149" s="53"/>
      <c r="C149" s="53"/>
      <c r="D149" s="53"/>
      <c r="E149" s="53"/>
    </row>
    <row r="150" spans="1:5" ht="12.75" customHeight="1" x14ac:dyDescent="0.2">
      <c r="A150" s="53"/>
      <c r="C150" s="53"/>
      <c r="D150" s="53"/>
      <c r="E150" s="53"/>
    </row>
    <row r="151" spans="1:5" ht="12.75" customHeight="1" x14ac:dyDescent="0.2">
      <c r="A151" s="53"/>
      <c r="C151" s="53"/>
      <c r="D151" s="53"/>
      <c r="E151" s="53"/>
    </row>
    <row r="152" spans="1:5" ht="12.75" customHeight="1" x14ac:dyDescent="0.2">
      <c r="A152" s="53"/>
      <c r="C152" s="53"/>
      <c r="D152" s="53"/>
      <c r="E152" s="53"/>
    </row>
    <row r="153" spans="1:5" ht="12.75" customHeight="1" x14ac:dyDescent="0.2">
      <c r="A153" s="53"/>
      <c r="C153" s="53"/>
      <c r="D153" s="53"/>
      <c r="E153" s="53"/>
    </row>
    <row r="154" spans="1:5" ht="12.75" customHeight="1" x14ac:dyDescent="0.2">
      <c r="A154" s="53"/>
      <c r="C154" s="53"/>
      <c r="D154" s="53"/>
      <c r="E154" s="53"/>
    </row>
    <row r="155" spans="1:5" ht="12.75" customHeight="1" x14ac:dyDescent="0.2">
      <c r="A155" s="53"/>
      <c r="C155" s="53"/>
      <c r="D155" s="53"/>
      <c r="E155" s="53"/>
    </row>
    <row r="156" spans="1:5" ht="12.75" customHeight="1" x14ac:dyDescent="0.2">
      <c r="A156" s="53"/>
      <c r="C156" s="53"/>
      <c r="D156" s="53"/>
      <c r="E156" s="53"/>
    </row>
    <row r="157" spans="1:5" ht="12.75" customHeight="1" x14ac:dyDescent="0.2">
      <c r="A157" s="53"/>
      <c r="C157" s="53"/>
      <c r="D157" s="53"/>
      <c r="E157" s="53"/>
    </row>
    <row r="158" spans="1:5" ht="12.75" customHeight="1" x14ac:dyDescent="0.2">
      <c r="A158" s="53"/>
      <c r="C158" s="53"/>
      <c r="D158" s="53"/>
      <c r="E158" s="53"/>
    </row>
    <row r="159" spans="1:5" ht="12.75" customHeight="1" x14ac:dyDescent="0.2">
      <c r="A159" s="53"/>
      <c r="C159" s="53"/>
      <c r="D159" s="53"/>
      <c r="E159" s="53"/>
    </row>
    <row r="160" spans="1:5" ht="12.75" customHeight="1" x14ac:dyDescent="0.2">
      <c r="A160" s="53"/>
      <c r="C160" s="53"/>
      <c r="D160" s="53"/>
      <c r="E160" s="53"/>
    </row>
    <row r="161" spans="1:5" ht="12.75" customHeight="1" x14ac:dyDescent="0.2">
      <c r="A161" s="53"/>
      <c r="C161" s="53"/>
      <c r="D161" s="53"/>
      <c r="E161" s="53"/>
    </row>
    <row r="162" spans="1:5" ht="12.75" customHeight="1" x14ac:dyDescent="0.2">
      <c r="A162" s="53"/>
      <c r="C162" s="53"/>
      <c r="D162" s="53"/>
      <c r="E162" s="53"/>
    </row>
    <row r="163" spans="1:5" ht="12.75" customHeight="1" x14ac:dyDescent="0.2">
      <c r="A163" s="53"/>
      <c r="C163" s="53"/>
      <c r="D163" s="53"/>
      <c r="E163" s="53"/>
    </row>
    <row r="164" spans="1:5" ht="12.75" customHeight="1" x14ac:dyDescent="0.2">
      <c r="A164" s="53"/>
      <c r="C164" s="53"/>
      <c r="D164" s="53"/>
      <c r="E164" s="53"/>
    </row>
    <row r="165" spans="1:5" ht="12.75" customHeight="1" x14ac:dyDescent="0.2">
      <c r="A165" s="53"/>
      <c r="C165" s="53"/>
      <c r="D165" s="53"/>
      <c r="E165" s="53"/>
    </row>
    <row r="166" spans="1:5" ht="12.75" customHeight="1" x14ac:dyDescent="0.2">
      <c r="A166" s="53"/>
      <c r="C166" s="53"/>
      <c r="D166" s="53"/>
      <c r="E166" s="53"/>
    </row>
    <row r="167" spans="1:5" ht="12.75" customHeight="1" x14ac:dyDescent="0.2">
      <c r="A167" s="53"/>
      <c r="C167" s="53"/>
      <c r="D167" s="53"/>
      <c r="E167" s="53"/>
    </row>
    <row r="168" spans="1:5" ht="12.75" customHeight="1" x14ac:dyDescent="0.2">
      <c r="A168" s="53"/>
      <c r="C168" s="53"/>
      <c r="D168" s="53"/>
      <c r="E168" s="53"/>
    </row>
    <row r="169" spans="1:5" ht="12.75" customHeight="1" x14ac:dyDescent="0.2">
      <c r="A169" s="53"/>
      <c r="C169" s="53"/>
      <c r="D169" s="53"/>
      <c r="E169" s="53"/>
    </row>
    <row r="170" spans="1:5" ht="12.75" customHeight="1" x14ac:dyDescent="0.2">
      <c r="A170" s="53"/>
      <c r="C170" s="53"/>
      <c r="D170" s="53"/>
      <c r="E170" s="53"/>
    </row>
    <row r="171" spans="1:5" ht="12.75" customHeight="1" x14ac:dyDescent="0.2">
      <c r="A171" s="53"/>
      <c r="C171" s="53"/>
      <c r="D171" s="53"/>
      <c r="E171" s="53"/>
    </row>
    <row r="172" spans="1:5" ht="12.75" customHeight="1" x14ac:dyDescent="0.2">
      <c r="A172" s="53"/>
      <c r="C172" s="53"/>
      <c r="D172" s="53"/>
      <c r="E172" s="53"/>
    </row>
    <row r="173" spans="1:5" ht="12.75" customHeight="1" x14ac:dyDescent="0.2">
      <c r="A173" s="53"/>
      <c r="C173" s="53"/>
      <c r="D173" s="53"/>
      <c r="E173" s="53"/>
    </row>
    <row r="174" spans="1:5" ht="12.75" customHeight="1" x14ac:dyDescent="0.2">
      <c r="A174" s="53"/>
      <c r="C174" s="53"/>
      <c r="D174" s="53"/>
      <c r="E174" s="53"/>
    </row>
    <row r="175" spans="1:5" ht="12.75" customHeight="1" x14ac:dyDescent="0.2">
      <c r="A175" s="53"/>
      <c r="C175" s="53"/>
      <c r="D175" s="53"/>
      <c r="E175" s="53"/>
    </row>
    <row r="176" spans="1:5" ht="12.75" customHeight="1" x14ac:dyDescent="0.2">
      <c r="A176" s="53"/>
      <c r="C176" s="53"/>
      <c r="D176" s="53"/>
      <c r="E176" s="53"/>
    </row>
    <row r="177" spans="1:5" ht="12.75" customHeight="1" x14ac:dyDescent="0.2">
      <c r="A177" s="53"/>
      <c r="C177" s="53"/>
      <c r="D177" s="53"/>
      <c r="E177" s="53"/>
    </row>
    <row r="178" spans="1:5" ht="12.75" customHeight="1" x14ac:dyDescent="0.2">
      <c r="A178" s="53"/>
      <c r="C178" s="53"/>
      <c r="D178" s="53"/>
      <c r="E178" s="53"/>
    </row>
    <row r="179" spans="1:5" ht="12.75" customHeight="1" x14ac:dyDescent="0.2">
      <c r="A179" s="53"/>
      <c r="C179" s="53"/>
      <c r="D179" s="53"/>
      <c r="E179" s="53"/>
    </row>
    <row r="180" spans="1:5" ht="12.75" customHeight="1" x14ac:dyDescent="0.2">
      <c r="A180" s="53"/>
      <c r="C180" s="53"/>
      <c r="D180" s="53"/>
      <c r="E180" s="53"/>
    </row>
    <row r="181" spans="1:5" ht="12.75" customHeight="1" x14ac:dyDescent="0.2">
      <c r="A181" s="53"/>
      <c r="C181" s="53"/>
      <c r="D181" s="53"/>
      <c r="E181" s="53"/>
    </row>
    <row r="182" spans="1:5" ht="12.75" customHeight="1" x14ac:dyDescent="0.2">
      <c r="A182" s="53"/>
      <c r="C182" s="53"/>
      <c r="D182" s="53"/>
      <c r="E182" s="53"/>
    </row>
    <row r="183" spans="1:5" ht="12.75" customHeight="1" x14ac:dyDescent="0.2">
      <c r="A183" s="53"/>
      <c r="C183" s="53"/>
      <c r="D183" s="53"/>
      <c r="E183" s="53"/>
    </row>
    <row r="184" spans="1:5" ht="12.75" customHeight="1" x14ac:dyDescent="0.2">
      <c r="A184" s="53"/>
      <c r="C184" s="53"/>
      <c r="D184" s="53"/>
      <c r="E184" s="53"/>
    </row>
    <row r="185" spans="1:5" ht="12.75" customHeight="1" x14ac:dyDescent="0.2">
      <c r="A185" s="53"/>
      <c r="C185" s="53"/>
      <c r="D185" s="53"/>
      <c r="E185" s="53"/>
    </row>
    <row r="186" spans="1:5" ht="12.75" customHeight="1" x14ac:dyDescent="0.2">
      <c r="A186" s="53"/>
      <c r="C186" s="53"/>
      <c r="D186" s="53"/>
      <c r="E186" s="53"/>
    </row>
    <row r="187" spans="1:5" ht="12.75" customHeight="1" x14ac:dyDescent="0.2">
      <c r="A187" s="53"/>
      <c r="C187" s="53"/>
      <c r="D187" s="53"/>
      <c r="E187" s="53"/>
    </row>
    <row r="188" spans="1:5" ht="12.75" customHeight="1" x14ac:dyDescent="0.2">
      <c r="A188" s="53"/>
      <c r="C188" s="53"/>
      <c r="D188" s="53"/>
      <c r="E188" s="53"/>
    </row>
    <row r="189" spans="1:5" ht="12.75" customHeight="1" x14ac:dyDescent="0.2">
      <c r="A189" s="53"/>
      <c r="C189" s="53"/>
      <c r="D189" s="53"/>
      <c r="E189" s="53"/>
    </row>
    <row r="190" spans="1:5" ht="12.75" customHeight="1" x14ac:dyDescent="0.2">
      <c r="A190" s="53"/>
      <c r="C190" s="53"/>
      <c r="D190" s="53"/>
      <c r="E190" s="53"/>
    </row>
    <row r="191" spans="1:5" ht="12.75" customHeight="1" x14ac:dyDescent="0.2">
      <c r="A191" s="53"/>
      <c r="C191" s="53"/>
      <c r="D191" s="53"/>
      <c r="E191" s="53"/>
    </row>
    <row r="192" spans="1:5" ht="12.75" customHeight="1" x14ac:dyDescent="0.2">
      <c r="A192" s="53"/>
      <c r="C192" s="53"/>
      <c r="D192" s="53"/>
      <c r="E192" s="53"/>
    </row>
    <row r="193" spans="1:5" ht="12.75" customHeight="1" x14ac:dyDescent="0.2">
      <c r="A193" s="53"/>
      <c r="C193" s="53"/>
      <c r="D193" s="53"/>
      <c r="E193" s="53"/>
    </row>
    <row r="194" spans="1:5" ht="12.75" customHeight="1" x14ac:dyDescent="0.2">
      <c r="A194" s="53"/>
      <c r="C194" s="53"/>
      <c r="D194" s="53"/>
      <c r="E194" s="53"/>
    </row>
    <row r="195" spans="1:5" ht="12.75" customHeight="1" x14ac:dyDescent="0.2">
      <c r="A195" s="53"/>
      <c r="C195" s="53"/>
      <c r="D195" s="53"/>
      <c r="E195" s="53"/>
    </row>
    <row r="196" spans="1:5" ht="12.75" customHeight="1" x14ac:dyDescent="0.2">
      <c r="A196" s="53"/>
      <c r="C196" s="53"/>
      <c r="D196" s="53"/>
      <c r="E196" s="53"/>
    </row>
    <row r="197" spans="1:5" ht="12.75" customHeight="1" x14ac:dyDescent="0.2">
      <c r="A197" s="53"/>
      <c r="C197" s="53"/>
      <c r="D197" s="53"/>
      <c r="E197" s="53"/>
    </row>
    <row r="198" spans="1:5" ht="12.75" customHeight="1" x14ac:dyDescent="0.2">
      <c r="A198" s="53"/>
      <c r="C198" s="53"/>
      <c r="D198" s="53"/>
      <c r="E198" s="53"/>
    </row>
    <row r="199" spans="1:5" ht="12.75" customHeight="1" x14ac:dyDescent="0.2">
      <c r="A199" s="53"/>
      <c r="C199" s="53"/>
      <c r="D199" s="53"/>
      <c r="E199" s="53"/>
    </row>
    <row r="200" spans="1:5" ht="12.75" customHeight="1" x14ac:dyDescent="0.2">
      <c r="A200" s="53"/>
      <c r="C200" s="53"/>
      <c r="D200" s="53"/>
      <c r="E200" s="53"/>
    </row>
    <row r="201" spans="1:5" ht="12.75" customHeight="1" x14ac:dyDescent="0.2">
      <c r="A201" s="53"/>
      <c r="C201" s="53"/>
      <c r="D201" s="53"/>
      <c r="E201" s="53"/>
    </row>
    <row r="202" spans="1:5" ht="12.75" customHeight="1" x14ac:dyDescent="0.2">
      <c r="A202" s="53"/>
      <c r="C202" s="53"/>
      <c r="D202" s="53"/>
      <c r="E202" s="53"/>
    </row>
    <row r="203" spans="1:5" ht="12.75" customHeight="1" x14ac:dyDescent="0.2">
      <c r="A203" s="53"/>
      <c r="C203" s="53"/>
      <c r="D203" s="53"/>
      <c r="E203" s="53"/>
    </row>
    <row r="204" spans="1:5" ht="12.75" customHeight="1" x14ac:dyDescent="0.2">
      <c r="A204" s="53"/>
      <c r="C204" s="53"/>
      <c r="D204" s="53"/>
      <c r="E204" s="53"/>
    </row>
    <row r="205" spans="1:5" ht="12.75" customHeight="1" x14ac:dyDescent="0.2">
      <c r="A205" s="53"/>
      <c r="C205" s="53"/>
      <c r="D205" s="53"/>
      <c r="E205" s="53"/>
    </row>
    <row r="206" spans="1:5" ht="12.75" customHeight="1" x14ac:dyDescent="0.2">
      <c r="A206" s="53"/>
      <c r="C206" s="53"/>
      <c r="D206" s="53"/>
      <c r="E206" s="53"/>
    </row>
    <row r="207" spans="1:5" ht="12.75" customHeight="1" x14ac:dyDescent="0.2">
      <c r="A207" s="53"/>
      <c r="C207" s="53"/>
      <c r="D207" s="53"/>
      <c r="E207" s="53"/>
    </row>
    <row r="208" spans="1:5" ht="12.75" customHeight="1" x14ac:dyDescent="0.2">
      <c r="A208" s="53"/>
      <c r="C208" s="53"/>
      <c r="D208" s="53"/>
      <c r="E208" s="53"/>
    </row>
    <row r="209" spans="1:5" ht="12.75" customHeight="1" x14ac:dyDescent="0.2">
      <c r="A209" s="53"/>
      <c r="C209" s="53"/>
      <c r="D209" s="53"/>
      <c r="E209" s="53"/>
    </row>
    <row r="210" spans="1:5" ht="12.75" customHeight="1" x14ac:dyDescent="0.2">
      <c r="A210" s="53"/>
      <c r="C210" s="53"/>
      <c r="D210" s="53"/>
      <c r="E210" s="53"/>
    </row>
    <row r="211" spans="1:5" ht="12.75" customHeight="1" x14ac:dyDescent="0.2">
      <c r="A211" s="53"/>
      <c r="C211" s="53"/>
      <c r="D211" s="53"/>
      <c r="E211" s="53"/>
    </row>
    <row r="212" spans="1:5" ht="12.75" customHeight="1" x14ac:dyDescent="0.2">
      <c r="A212" s="53"/>
      <c r="C212" s="53"/>
      <c r="D212" s="53"/>
      <c r="E212" s="53"/>
    </row>
    <row r="213" spans="1:5" ht="12.75" customHeight="1" x14ac:dyDescent="0.2">
      <c r="A213" s="53"/>
      <c r="C213" s="53"/>
      <c r="D213" s="53"/>
      <c r="E213" s="53"/>
    </row>
    <row r="214" spans="1:5" ht="12.75" customHeight="1" x14ac:dyDescent="0.2">
      <c r="A214" s="53"/>
      <c r="C214" s="53"/>
      <c r="D214" s="53"/>
      <c r="E214" s="53"/>
    </row>
    <row r="215" spans="1:5" ht="12.75" customHeight="1" x14ac:dyDescent="0.2">
      <c r="A215" s="53"/>
      <c r="C215" s="53"/>
      <c r="D215" s="53"/>
      <c r="E215" s="53"/>
    </row>
    <row r="216" spans="1:5" ht="12.75" customHeight="1" x14ac:dyDescent="0.2">
      <c r="A216" s="53"/>
      <c r="C216" s="53"/>
      <c r="D216" s="53"/>
      <c r="E216" s="53"/>
    </row>
    <row r="217" spans="1:5" ht="12.75" customHeight="1" x14ac:dyDescent="0.2">
      <c r="A217" s="53"/>
      <c r="C217" s="53"/>
      <c r="D217" s="53"/>
      <c r="E217" s="53"/>
    </row>
    <row r="218" spans="1:5" ht="12.75" customHeight="1" x14ac:dyDescent="0.2">
      <c r="A218" s="53"/>
      <c r="C218" s="53"/>
      <c r="D218" s="53"/>
      <c r="E218" s="53"/>
    </row>
    <row r="219" spans="1:5" ht="12.75" customHeight="1" x14ac:dyDescent="0.2">
      <c r="A219" s="53"/>
      <c r="C219" s="53"/>
      <c r="D219" s="53"/>
      <c r="E219" s="53"/>
    </row>
    <row r="220" spans="1:5" ht="12.75" customHeight="1" x14ac:dyDescent="0.2">
      <c r="A220" s="53"/>
      <c r="C220" s="53"/>
      <c r="D220" s="53"/>
      <c r="E220" s="53"/>
    </row>
    <row r="221" spans="1:5" ht="12.75" customHeight="1" x14ac:dyDescent="0.2">
      <c r="A221" s="53"/>
      <c r="C221" s="53"/>
      <c r="D221" s="53"/>
      <c r="E221" s="53"/>
    </row>
    <row r="222" spans="1:5" ht="12.75" customHeight="1" x14ac:dyDescent="0.2">
      <c r="A222" s="53"/>
      <c r="C222" s="53"/>
      <c r="D222" s="53"/>
      <c r="E222" s="53"/>
    </row>
    <row r="223" spans="1:5" ht="12.75" customHeight="1" x14ac:dyDescent="0.2">
      <c r="A223" s="53"/>
      <c r="C223" s="53"/>
      <c r="D223" s="53"/>
      <c r="E223" s="53"/>
    </row>
    <row r="224" spans="1:5" ht="12.75" customHeight="1" x14ac:dyDescent="0.2">
      <c r="A224" s="53"/>
      <c r="C224" s="53"/>
      <c r="D224" s="53"/>
      <c r="E224" s="53"/>
    </row>
    <row r="225" spans="1:5" ht="12.75" customHeight="1" x14ac:dyDescent="0.2">
      <c r="A225" s="53"/>
      <c r="C225" s="53"/>
      <c r="D225" s="53"/>
      <c r="E225" s="53"/>
    </row>
    <row r="226" spans="1:5" ht="12.75" customHeight="1" x14ac:dyDescent="0.2">
      <c r="A226" s="53"/>
      <c r="C226" s="53"/>
      <c r="D226" s="53"/>
      <c r="E226" s="53"/>
    </row>
    <row r="227" spans="1:5" ht="12.75" customHeight="1" x14ac:dyDescent="0.2">
      <c r="A227" s="53"/>
      <c r="C227" s="53"/>
      <c r="D227" s="53"/>
      <c r="E227" s="53"/>
    </row>
    <row r="228" spans="1:5" ht="12.75" customHeight="1" x14ac:dyDescent="0.2">
      <c r="A228" s="53"/>
      <c r="C228" s="53"/>
      <c r="D228" s="53"/>
      <c r="E228" s="53"/>
    </row>
    <row r="229" spans="1:5" ht="12.75" customHeight="1" x14ac:dyDescent="0.2">
      <c r="A229" s="53"/>
      <c r="C229" s="53"/>
      <c r="D229" s="53"/>
      <c r="E229" s="53"/>
    </row>
    <row r="230" spans="1:5" ht="12.75" customHeight="1" x14ac:dyDescent="0.2">
      <c r="A230" s="53"/>
      <c r="C230" s="53"/>
      <c r="D230" s="53"/>
      <c r="E230" s="53"/>
    </row>
    <row r="231" spans="1:5" ht="12.75" customHeight="1" x14ac:dyDescent="0.2">
      <c r="A231" s="53"/>
      <c r="C231" s="53"/>
      <c r="D231" s="53"/>
      <c r="E231" s="53"/>
    </row>
    <row r="232" spans="1:5" ht="12.75" customHeight="1" x14ac:dyDescent="0.2">
      <c r="A232" s="53"/>
      <c r="C232" s="53"/>
      <c r="D232" s="53"/>
      <c r="E232" s="53"/>
    </row>
    <row r="233" spans="1:5" ht="12.75" customHeight="1" x14ac:dyDescent="0.2">
      <c r="A233" s="53"/>
      <c r="C233" s="53"/>
      <c r="D233" s="53"/>
      <c r="E233" s="53"/>
    </row>
    <row r="234" spans="1:5" ht="12.75" customHeight="1" x14ac:dyDescent="0.2">
      <c r="A234" s="53"/>
      <c r="C234" s="53"/>
      <c r="D234" s="53"/>
      <c r="E234" s="53"/>
    </row>
    <row r="235" spans="1:5" ht="12.75" customHeight="1" x14ac:dyDescent="0.2">
      <c r="A235" s="53"/>
      <c r="C235" s="53"/>
      <c r="D235" s="53"/>
      <c r="E235" s="53"/>
    </row>
    <row r="236" spans="1:5" ht="12.75" customHeight="1" x14ac:dyDescent="0.2">
      <c r="A236" s="53"/>
      <c r="C236" s="53"/>
      <c r="D236" s="53"/>
      <c r="E236" s="53"/>
    </row>
    <row r="237" spans="1:5" ht="12.75" customHeight="1" x14ac:dyDescent="0.2">
      <c r="A237" s="53"/>
      <c r="C237" s="53"/>
      <c r="D237" s="53"/>
      <c r="E237" s="53"/>
    </row>
    <row r="238" spans="1:5" ht="12.75" customHeight="1" x14ac:dyDescent="0.2">
      <c r="A238" s="53"/>
      <c r="C238" s="53"/>
      <c r="D238" s="53"/>
      <c r="E238" s="53"/>
    </row>
    <row r="239" spans="1:5" ht="12.75" customHeight="1" x14ac:dyDescent="0.2">
      <c r="A239" s="53"/>
      <c r="C239" s="53"/>
      <c r="D239" s="53"/>
      <c r="E239" s="53"/>
    </row>
    <row r="240" spans="1:5" ht="12.75" customHeight="1" x14ac:dyDescent="0.2">
      <c r="A240" s="53"/>
      <c r="C240" s="53"/>
      <c r="D240" s="53"/>
      <c r="E240" s="53"/>
    </row>
    <row r="241" spans="1:5" ht="12.75" customHeight="1" x14ac:dyDescent="0.2">
      <c r="A241" s="53"/>
      <c r="C241" s="53"/>
      <c r="D241" s="53"/>
      <c r="E241" s="53"/>
    </row>
    <row r="242" spans="1:5" ht="12.75" customHeight="1" x14ac:dyDescent="0.2">
      <c r="A242" s="53"/>
      <c r="C242" s="53"/>
      <c r="D242" s="53"/>
      <c r="E242" s="53"/>
    </row>
    <row r="243" spans="1:5" ht="12.75" customHeight="1" x14ac:dyDescent="0.2">
      <c r="A243" s="53"/>
      <c r="C243" s="53"/>
      <c r="D243" s="53"/>
      <c r="E243" s="53"/>
    </row>
    <row r="244" spans="1:5" ht="12.75" customHeight="1" x14ac:dyDescent="0.2">
      <c r="A244" s="53"/>
      <c r="C244" s="53"/>
      <c r="D244" s="53"/>
      <c r="E244" s="53"/>
    </row>
    <row r="245" spans="1:5" ht="12.75" customHeight="1" x14ac:dyDescent="0.2">
      <c r="A245" s="53"/>
      <c r="C245" s="53"/>
      <c r="D245" s="53"/>
      <c r="E245" s="53"/>
    </row>
    <row r="246" spans="1:5" ht="12.75" customHeight="1" x14ac:dyDescent="0.2">
      <c r="A246" s="53"/>
      <c r="C246" s="53"/>
      <c r="D246" s="53"/>
      <c r="E246" s="53"/>
    </row>
    <row r="247" spans="1:5" ht="12.75" customHeight="1" x14ac:dyDescent="0.2">
      <c r="A247" s="53"/>
      <c r="C247" s="53"/>
      <c r="D247" s="53"/>
      <c r="E247" s="53"/>
    </row>
    <row r="248" spans="1:5" ht="12.75" customHeight="1" x14ac:dyDescent="0.2">
      <c r="A248" s="53"/>
      <c r="C248" s="53"/>
      <c r="D248" s="53"/>
      <c r="E248" s="53"/>
    </row>
    <row r="249" spans="1:5" ht="12.75" customHeight="1" x14ac:dyDescent="0.2">
      <c r="A249" s="53"/>
      <c r="C249" s="53"/>
      <c r="D249" s="53"/>
      <c r="E249" s="53"/>
    </row>
    <row r="250" spans="1:5" ht="12.75" customHeight="1" x14ac:dyDescent="0.2">
      <c r="A250" s="53"/>
      <c r="C250" s="53"/>
      <c r="D250" s="53"/>
      <c r="E250" s="53"/>
    </row>
    <row r="251" spans="1:5" ht="12.75" customHeight="1" x14ac:dyDescent="0.2">
      <c r="A251" s="53"/>
      <c r="C251" s="53"/>
      <c r="D251" s="53"/>
      <c r="E251" s="53"/>
    </row>
    <row r="252" spans="1:5" ht="12.75" customHeight="1" x14ac:dyDescent="0.2">
      <c r="A252" s="53"/>
      <c r="C252" s="53"/>
      <c r="D252" s="53"/>
      <c r="E252" s="53"/>
    </row>
    <row r="253" spans="1:5" ht="12.75" customHeight="1" x14ac:dyDescent="0.2">
      <c r="A253" s="53"/>
      <c r="C253" s="53"/>
      <c r="D253" s="53"/>
      <c r="E253" s="53"/>
    </row>
    <row r="254" spans="1:5" ht="12.75" customHeight="1" x14ac:dyDescent="0.2">
      <c r="A254" s="53"/>
      <c r="C254" s="53"/>
      <c r="D254" s="53"/>
      <c r="E254" s="53"/>
    </row>
    <row r="255" spans="1:5" ht="12.75" customHeight="1" x14ac:dyDescent="0.2">
      <c r="A255" s="53"/>
      <c r="C255" s="53"/>
      <c r="D255" s="53"/>
      <c r="E255" s="53"/>
    </row>
    <row r="256" spans="1:5" ht="12.75" customHeight="1" x14ac:dyDescent="0.2">
      <c r="A256" s="53"/>
      <c r="C256" s="53"/>
      <c r="D256" s="53"/>
      <c r="E256" s="53"/>
    </row>
    <row r="257" spans="1:5" ht="12.75" customHeight="1" x14ac:dyDescent="0.2">
      <c r="A257" s="53"/>
      <c r="C257" s="53"/>
      <c r="D257" s="53"/>
      <c r="E257" s="53"/>
    </row>
    <row r="258" spans="1:5" ht="12.75" customHeight="1" x14ac:dyDescent="0.2">
      <c r="A258" s="53"/>
      <c r="C258" s="53"/>
      <c r="D258" s="53"/>
      <c r="E258" s="53"/>
    </row>
    <row r="259" spans="1:5" ht="12.75" customHeight="1" x14ac:dyDescent="0.2">
      <c r="A259" s="53"/>
      <c r="C259" s="53"/>
      <c r="D259" s="53"/>
      <c r="E259" s="53"/>
    </row>
    <row r="260" spans="1:5" ht="12.75" customHeight="1" x14ac:dyDescent="0.2">
      <c r="A260" s="53"/>
      <c r="C260" s="53"/>
      <c r="D260" s="53"/>
      <c r="E260" s="53"/>
    </row>
    <row r="261" spans="1:5" ht="12.75" customHeight="1" x14ac:dyDescent="0.2">
      <c r="A261" s="53"/>
      <c r="C261" s="53"/>
      <c r="D261" s="53"/>
      <c r="E261" s="53"/>
    </row>
    <row r="262" spans="1:5" ht="12.75" customHeight="1" x14ac:dyDescent="0.2">
      <c r="A262" s="53"/>
      <c r="C262" s="53"/>
      <c r="D262" s="53"/>
      <c r="E262" s="53"/>
    </row>
    <row r="263" spans="1:5" ht="12.75" customHeight="1" x14ac:dyDescent="0.2">
      <c r="A263" s="53"/>
      <c r="C263" s="53"/>
      <c r="D263" s="53"/>
      <c r="E263" s="53"/>
    </row>
    <row r="264" spans="1:5" ht="12.75" customHeight="1" x14ac:dyDescent="0.2">
      <c r="A264" s="53"/>
      <c r="C264" s="53"/>
      <c r="D264" s="53"/>
      <c r="E264" s="53"/>
    </row>
    <row r="265" spans="1:5" ht="12.75" customHeight="1" x14ac:dyDescent="0.2">
      <c r="A265" s="53"/>
      <c r="C265" s="53"/>
      <c r="D265" s="53"/>
      <c r="E265" s="53"/>
    </row>
    <row r="266" spans="1:5" ht="12.75" customHeight="1" x14ac:dyDescent="0.2">
      <c r="A266" s="53"/>
      <c r="C266" s="53"/>
      <c r="D266" s="53"/>
      <c r="E266" s="53"/>
    </row>
    <row r="267" spans="1:5" ht="12.75" customHeight="1" x14ac:dyDescent="0.2">
      <c r="A267" s="53"/>
      <c r="C267" s="53"/>
      <c r="D267" s="53"/>
      <c r="E267" s="53"/>
    </row>
    <row r="268" spans="1:5" ht="12.75" customHeight="1" x14ac:dyDescent="0.2">
      <c r="A268" s="53"/>
      <c r="C268" s="53"/>
      <c r="D268" s="53"/>
      <c r="E268" s="53"/>
    </row>
    <row r="269" spans="1:5" ht="12.75" customHeight="1" x14ac:dyDescent="0.2">
      <c r="A269" s="53"/>
      <c r="C269" s="53"/>
      <c r="D269" s="53"/>
      <c r="E269" s="53"/>
    </row>
    <row r="270" spans="1:5" ht="12.75" customHeight="1" x14ac:dyDescent="0.2">
      <c r="A270" s="53"/>
      <c r="C270" s="53"/>
      <c r="D270" s="53"/>
      <c r="E270" s="53"/>
    </row>
    <row r="271" spans="1:5" ht="12.75" customHeight="1" x14ac:dyDescent="0.2">
      <c r="A271" s="53"/>
      <c r="C271" s="53"/>
      <c r="D271" s="53"/>
      <c r="E271" s="53"/>
    </row>
    <row r="272" spans="1:5" ht="12.75" customHeight="1" x14ac:dyDescent="0.2">
      <c r="A272" s="53"/>
      <c r="C272" s="53"/>
      <c r="D272" s="53"/>
      <c r="E272" s="53"/>
    </row>
    <row r="273" spans="1:5" ht="12.75" customHeight="1" x14ac:dyDescent="0.2">
      <c r="A273" s="53"/>
      <c r="C273" s="53"/>
      <c r="D273" s="53"/>
      <c r="E273" s="53"/>
    </row>
    <row r="274" spans="1:5" ht="12.75" customHeight="1" x14ac:dyDescent="0.2">
      <c r="A274" s="53"/>
      <c r="C274" s="53"/>
      <c r="D274" s="53"/>
      <c r="E274" s="53"/>
    </row>
    <row r="275" spans="1:5" ht="12.75" customHeight="1" x14ac:dyDescent="0.2">
      <c r="A275" s="53"/>
      <c r="C275" s="53"/>
      <c r="D275" s="53"/>
      <c r="E275" s="53"/>
    </row>
    <row r="276" spans="1:5" ht="12.75" customHeight="1" x14ac:dyDescent="0.2">
      <c r="A276" s="53"/>
      <c r="C276" s="53"/>
      <c r="D276" s="53"/>
      <c r="E276" s="53"/>
    </row>
    <row r="277" spans="1:5" ht="12.75" customHeight="1" x14ac:dyDescent="0.2">
      <c r="A277" s="53"/>
      <c r="C277" s="53"/>
      <c r="D277" s="53"/>
      <c r="E277" s="53"/>
    </row>
    <row r="278" spans="1:5" ht="12.75" customHeight="1" x14ac:dyDescent="0.2">
      <c r="A278" s="53"/>
      <c r="C278" s="53"/>
      <c r="D278" s="53"/>
      <c r="E278" s="53"/>
    </row>
    <row r="279" spans="1:5" ht="12.75" customHeight="1" x14ac:dyDescent="0.2">
      <c r="A279" s="53"/>
      <c r="C279" s="53"/>
      <c r="D279" s="53"/>
      <c r="E279" s="53"/>
    </row>
    <row r="280" spans="1:5" ht="12.75" customHeight="1" x14ac:dyDescent="0.2">
      <c r="A280" s="53"/>
      <c r="C280" s="53"/>
      <c r="D280" s="53"/>
      <c r="E280" s="53"/>
    </row>
    <row r="281" spans="1:5" ht="12.75" customHeight="1" x14ac:dyDescent="0.2">
      <c r="A281" s="53"/>
      <c r="C281" s="53"/>
      <c r="D281" s="53"/>
      <c r="E281" s="53"/>
    </row>
    <row r="282" spans="1:5" ht="12.75" customHeight="1" x14ac:dyDescent="0.2">
      <c r="A282" s="53"/>
      <c r="C282" s="53"/>
      <c r="D282" s="53"/>
      <c r="E282" s="53"/>
    </row>
    <row r="283" spans="1:5" ht="12.75" customHeight="1" x14ac:dyDescent="0.2">
      <c r="A283" s="53"/>
      <c r="C283" s="53"/>
      <c r="D283" s="53"/>
      <c r="E283" s="53"/>
    </row>
    <row r="284" spans="1:5" ht="12.75" customHeight="1" x14ac:dyDescent="0.2">
      <c r="A284" s="53"/>
      <c r="C284" s="53"/>
      <c r="D284" s="53"/>
      <c r="E284" s="53"/>
    </row>
    <row r="285" spans="1:5" ht="12.75" customHeight="1" x14ac:dyDescent="0.2">
      <c r="A285" s="53"/>
      <c r="C285" s="53"/>
      <c r="D285" s="53"/>
      <c r="E285" s="53"/>
    </row>
    <row r="286" spans="1:5" ht="12.75" customHeight="1" x14ac:dyDescent="0.2">
      <c r="A286" s="53"/>
      <c r="C286" s="53"/>
      <c r="D286" s="53"/>
      <c r="E286" s="53"/>
    </row>
    <row r="287" spans="1:5" ht="12.75" customHeight="1" x14ac:dyDescent="0.2">
      <c r="A287" s="53"/>
      <c r="C287" s="53"/>
      <c r="D287" s="53"/>
      <c r="E287" s="53"/>
    </row>
    <row r="288" spans="1:5" ht="12.75" customHeight="1" x14ac:dyDescent="0.2">
      <c r="A288" s="53"/>
      <c r="C288" s="53"/>
      <c r="D288" s="53"/>
      <c r="E288" s="53"/>
    </row>
    <row r="289" spans="1:5" ht="12.75" customHeight="1" x14ac:dyDescent="0.2">
      <c r="A289" s="53"/>
      <c r="C289" s="53"/>
      <c r="D289" s="53"/>
      <c r="E289" s="53"/>
    </row>
    <row r="290" spans="1:5" ht="12.75" customHeight="1" x14ac:dyDescent="0.2">
      <c r="A290" s="53"/>
      <c r="C290" s="53"/>
      <c r="D290" s="53"/>
      <c r="E290" s="53"/>
    </row>
    <row r="291" spans="1:5" ht="12.75" customHeight="1" x14ac:dyDescent="0.2">
      <c r="A291" s="53"/>
      <c r="C291" s="53"/>
      <c r="D291" s="53"/>
      <c r="E291" s="53"/>
    </row>
    <row r="292" spans="1:5" ht="12.75" customHeight="1" x14ac:dyDescent="0.2">
      <c r="A292" s="53"/>
      <c r="C292" s="53"/>
      <c r="D292" s="53"/>
      <c r="E292" s="53"/>
    </row>
    <row r="293" spans="1:5" ht="12.75" customHeight="1" x14ac:dyDescent="0.2">
      <c r="A293" s="53"/>
      <c r="C293" s="53"/>
      <c r="D293" s="53"/>
      <c r="E293" s="53"/>
    </row>
    <row r="294" spans="1:5" ht="12.75" customHeight="1" x14ac:dyDescent="0.2">
      <c r="A294" s="53"/>
      <c r="C294" s="53"/>
      <c r="D294" s="53"/>
      <c r="E294" s="53"/>
    </row>
    <row r="295" spans="1:5" ht="12.75" customHeight="1" x14ac:dyDescent="0.2">
      <c r="A295" s="53"/>
      <c r="C295" s="53"/>
      <c r="D295" s="53"/>
      <c r="E295" s="53"/>
    </row>
    <row r="296" spans="1:5" ht="12.75" customHeight="1" x14ac:dyDescent="0.2">
      <c r="A296" s="53"/>
      <c r="C296" s="53"/>
      <c r="D296" s="53"/>
      <c r="E296" s="53"/>
    </row>
    <row r="297" spans="1:5" ht="12.75" customHeight="1" x14ac:dyDescent="0.2">
      <c r="A297" s="53"/>
      <c r="C297" s="53"/>
      <c r="D297" s="53"/>
      <c r="E297" s="53"/>
    </row>
    <row r="298" spans="1:5" ht="12.75" customHeight="1" x14ac:dyDescent="0.2">
      <c r="A298" s="53"/>
      <c r="C298" s="53"/>
      <c r="D298" s="53"/>
      <c r="E298" s="53"/>
    </row>
    <row r="299" spans="1:5" ht="12.75" customHeight="1" x14ac:dyDescent="0.2">
      <c r="A299" s="53"/>
      <c r="C299" s="53"/>
      <c r="D299" s="53"/>
      <c r="E299" s="53"/>
    </row>
    <row r="300" spans="1:5" ht="12.75" customHeight="1" x14ac:dyDescent="0.2">
      <c r="A300" s="53"/>
      <c r="C300" s="53"/>
      <c r="D300" s="53"/>
      <c r="E300" s="53"/>
    </row>
    <row r="301" spans="1:5" ht="12.75" customHeight="1" x14ac:dyDescent="0.2">
      <c r="A301" s="53"/>
      <c r="C301" s="53"/>
      <c r="D301" s="53"/>
      <c r="E301" s="53"/>
    </row>
    <row r="302" spans="1:5" ht="12.75" customHeight="1" x14ac:dyDescent="0.2">
      <c r="A302" s="53"/>
      <c r="C302" s="53"/>
      <c r="D302" s="53"/>
      <c r="E302" s="53"/>
    </row>
    <row r="303" spans="1:5" ht="12.75" customHeight="1" x14ac:dyDescent="0.2">
      <c r="A303" s="53"/>
      <c r="C303" s="53"/>
      <c r="D303" s="53"/>
      <c r="E303" s="53"/>
    </row>
    <row r="304" spans="1:5" ht="12.75" customHeight="1" x14ac:dyDescent="0.2">
      <c r="A304" s="53"/>
      <c r="C304" s="53"/>
      <c r="D304" s="53"/>
      <c r="E304" s="53"/>
    </row>
    <row r="305" spans="1:5" ht="12.75" customHeight="1" x14ac:dyDescent="0.2">
      <c r="A305" s="53"/>
      <c r="C305" s="53"/>
      <c r="D305" s="53"/>
      <c r="E305" s="53"/>
    </row>
    <row r="306" spans="1:5" ht="12.75" customHeight="1" x14ac:dyDescent="0.2">
      <c r="A306" s="53"/>
      <c r="C306" s="53"/>
      <c r="D306" s="53"/>
      <c r="E306" s="53"/>
    </row>
    <row r="307" spans="1:5" ht="12.75" customHeight="1" x14ac:dyDescent="0.2">
      <c r="A307" s="53"/>
      <c r="C307" s="53"/>
      <c r="D307" s="53"/>
      <c r="E307" s="53"/>
    </row>
    <row r="308" spans="1:5" ht="12.75" customHeight="1" x14ac:dyDescent="0.2">
      <c r="A308" s="53"/>
      <c r="C308" s="53"/>
      <c r="D308" s="53"/>
      <c r="E308" s="53"/>
    </row>
    <row r="309" spans="1:5" ht="12.75" customHeight="1" x14ac:dyDescent="0.2">
      <c r="A309" s="53"/>
      <c r="C309" s="53"/>
      <c r="D309" s="53"/>
      <c r="E309" s="53"/>
    </row>
    <row r="310" spans="1:5" ht="12.75" customHeight="1" x14ac:dyDescent="0.2">
      <c r="A310" s="53"/>
      <c r="C310" s="53"/>
      <c r="D310" s="53"/>
      <c r="E310" s="53"/>
    </row>
    <row r="311" spans="1:5" ht="12.75" customHeight="1" x14ac:dyDescent="0.2">
      <c r="A311" s="53"/>
      <c r="C311" s="53"/>
      <c r="D311" s="53"/>
      <c r="E311" s="53"/>
    </row>
    <row r="312" spans="1:5" ht="12.75" customHeight="1" x14ac:dyDescent="0.2">
      <c r="A312" s="53"/>
      <c r="C312" s="53"/>
      <c r="D312" s="53"/>
      <c r="E312" s="53"/>
    </row>
    <row r="313" spans="1:5" ht="12.75" customHeight="1" x14ac:dyDescent="0.2">
      <c r="A313" s="53"/>
      <c r="C313" s="53"/>
      <c r="D313" s="53"/>
      <c r="E313" s="53"/>
    </row>
    <row r="314" spans="1:5" ht="12.75" customHeight="1" x14ac:dyDescent="0.2">
      <c r="A314" s="53"/>
      <c r="C314" s="53"/>
      <c r="D314" s="53"/>
      <c r="E314" s="53"/>
    </row>
    <row r="315" spans="1:5" ht="12.75" customHeight="1" x14ac:dyDescent="0.2">
      <c r="A315" s="53"/>
      <c r="C315" s="53"/>
      <c r="D315" s="53"/>
      <c r="E315" s="53"/>
    </row>
    <row r="316" spans="1:5" ht="12.75" customHeight="1" x14ac:dyDescent="0.2">
      <c r="A316" s="53"/>
      <c r="C316" s="53"/>
      <c r="D316" s="53"/>
      <c r="E316" s="53"/>
    </row>
    <row r="317" spans="1:5" ht="12.75" customHeight="1" x14ac:dyDescent="0.2">
      <c r="A317" s="53"/>
      <c r="C317" s="53"/>
      <c r="D317" s="53"/>
      <c r="E317" s="53"/>
    </row>
    <row r="318" spans="1:5" ht="12.75" customHeight="1" x14ac:dyDescent="0.2">
      <c r="A318" s="53"/>
      <c r="C318" s="53"/>
      <c r="D318" s="53"/>
      <c r="E318" s="53"/>
    </row>
    <row r="319" spans="1:5" ht="12.75" customHeight="1" x14ac:dyDescent="0.2">
      <c r="A319" s="53"/>
      <c r="C319" s="53"/>
      <c r="D319" s="53"/>
      <c r="E319" s="53"/>
    </row>
    <row r="320" spans="1:5" ht="12.75" customHeight="1" x14ac:dyDescent="0.2">
      <c r="A320" s="53"/>
      <c r="C320" s="53"/>
      <c r="D320" s="53"/>
      <c r="E320" s="53"/>
    </row>
    <row r="321" spans="1:5" ht="12.75" customHeight="1" x14ac:dyDescent="0.2">
      <c r="A321" s="53"/>
      <c r="C321" s="53"/>
      <c r="D321" s="53"/>
      <c r="E321" s="53"/>
    </row>
    <row r="322" spans="1:5" ht="12.75" customHeight="1" x14ac:dyDescent="0.2">
      <c r="A322" s="53"/>
      <c r="C322" s="53"/>
      <c r="D322" s="53"/>
      <c r="E322" s="53"/>
    </row>
    <row r="323" spans="1:5" ht="12.75" customHeight="1" x14ac:dyDescent="0.2">
      <c r="A323" s="53"/>
      <c r="C323" s="53"/>
      <c r="D323" s="53"/>
      <c r="E323" s="53"/>
    </row>
    <row r="324" spans="1:5" ht="12.75" customHeight="1" x14ac:dyDescent="0.2">
      <c r="A324" s="53"/>
      <c r="C324" s="53"/>
      <c r="D324" s="53"/>
      <c r="E324" s="53"/>
    </row>
    <row r="325" spans="1:5" ht="12.75" customHeight="1" x14ac:dyDescent="0.2">
      <c r="A325" s="53"/>
      <c r="C325" s="53"/>
      <c r="D325" s="53"/>
      <c r="E325" s="53"/>
    </row>
    <row r="326" spans="1:5" ht="12.75" customHeight="1" x14ac:dyDescent="0.2">
      <c r="A326" s="53"/>
      <c r="C326" s="53"/>
      <c r="D326" s="53"/>
      <c r="E326" s="53"/>
    </row>
    <row r="327" spans="1:5" ht="12.75" customHeight="1" x14ac:dyDescent="0.2">
      <c r="A327" s="53"/>
      <c r="C327" s="53"/>
      <c r="D327" s="53"/>
      <c r="E327" s="53"/>
    </row>
    <row r="328" spans="1:5" ht="12.75" customHeight="1" x14ac:dyDescent="0.2">
      <c r="A328" s="53"/>
      <c r="C328" s="53"/>
      <c r="D328" s="53"/>
      <c r="E328" s="53"/>
    </row>
    <row r="329" spans="1:5" ht="12.75" customHeight="1" x14ac:dyDescent="0.2">
      <c r="A329" s="53"/>
      <c r="C329" s="53"/>
      <c r="D329" s="53"/>
      <c r="E329" s="53"/>
    </row>
    <row r="330" spans="1:5" ht="12.75" customHeight="1" x14ac:dyDescent="0.2">
      <c r="A330" s="53"/>
      <c r="C330" s="53"/>
      <c r="D330" s="53"/>
      <c r="E330" s="53"/>
    </row>
    <row r="331" spans="1:5" ht="12.75" customHeight="1" x14ac:dyDescent="0.2">
      <c r="A331" s="53"/>
      <c r="C331" s="53"/>
      <c r="D331" s="53"/>
      <c r="E331" s="53"/>
    </row>
    <row r="332" spans="1:5" ht="12.75" customHeight="1" x14ac:dyDescent="0.2">
      <c r="A332" s="53"/>
      <c r="C332" s="53"/>
      <c r="D332" s="53"/>
      <c r="E332" s="53"/>
    </row>
    <row r="333" spans="1:5" ht="12.75" customHeight="1" x14ac:dyDescent="0.2">
      <c r="A333" s="53"/>
      <c r="C333" s="53"/>
      <c r="D333" s="53"/>
      <c r="E333" s="53"/>
    </row>
    <row r="334" spans="1:5" ht="12.75" customHeight="1" x14ac:dyDescent="0.2">
      <c r="A334" s="53"/>
      <c r="C334" s="53"/>
      <c r="D334" s="53"/>
      <c r="E334" s="53"/>
    </row>
    <row r="335" spans="1:5" ht="12.75" customHeight="1" x14ac:dyDescent="0.2">
      <c r="A335" s="53"/>
      <c r="C335" s="53"/>
      <c r="D335" s="53"/>
      <c r="E335" s="53"/>
    </row>
    <row r="336" spans="1:5" ht="12.75" customHeight="1" x14ac:dyDescent="0.2">
      <c r="A336" s="53"/>
      <c r="C336" s="53"/>
      <c r="D336" s="53"/>
      <c r="E336" s="53"/>
    </row>
    <row r="337" spans="1:5" ht="12.75" customHeight="1" x14ac:dyDescent="0.2">
      <c r="A337" s="53"/>
      <c r="C337" s="53"/>
      <c r="D337" s="53"/>
      <c r="E337" s="53"/>
    </row>
    <row r="338" spans="1:5" ht="12.75" customHeight="1" x14ac:dyDescent="0.2">
      <c r="A338" s="53"/>
      <c r="C338" s="53"/>
      <c r="D338" s="53"/>
      <c r="E338" s="53"/>
    </row>
    <row r="339" spans="1:5" ht="12.75" customHeight="1" x14ac:dyDescent="0.2">
      <c r="A339" s="53"/>
      <c r="C339" s="53"/>
      <c r="D339" s="53"/>
      <c r="E339" s="53"/>
    </row>
    <row r="340" spans="1:5" ht="12.75" customHeight="1" x14ac:dyDescent="0.2">
      <c r="A340" s="53"/>
      <c r="C340" s="53"/>
      <c r="D340" s="53"/>
      <c r="E340" s="53"/>
    </row>
    <row r="341" spans="1:5" ht="12.75" customHeight="1" x14ac:dyDescent="0.2">
      <c r="A341" s="53"/>
      <c r="C341" s="53"/>
      <c r="D341" s="53"/>
      <c r="E341" s="53"/>
    </row>
    <row r="342" spans="1:5" ht="12.75" customHeight="1" x14ac:dyDescent="0.2">
      <c r="A342" s="53"/>
      <c r="C342" s="53"/>
      <c r="D342" s="53"/>
      <c r="E342" s="53"/>
    </row>
    <row r="343" spans="1:5" ht="12.75" customHeight="1" x14ac:dyDescent="0.2">
      <c r="A343" s="53"/>
      <c r="C343" s="53"/>
      <c r="D343" s="53"/>
      <c r="E343" s="53"/>
    </row>
    <row r="344" spans="1:5" ht="12.75" customHeight="1" x14ac:dyDescent="0.2">
      <c r="A344" s="53"/>
      <c r="C344" s="53"/>
      <c r="D344" s="53"/>
      <c r="E344" s="53"/>
    </row>
    <row r="345" spans="1:5" ht="12.75" customHeight="1" x14ac:dyDescent="0.2">
      <c r="A345" s="53"/>
      <c r="C345" s="53"/>
      <c r="D345" s="53"/>
      <c r="E345" s="53"/>
    </row>
    <row r="346" spans="1:5" ht="12.75" customHeight="1" x14ac:dyDescent="0.2">
      <c r="A346" s="53"/>
      <c r="C346" s="53"/>
      <c r="D346" s="53"/>
      <c r="E346" s="53"/>
    </row>
    <row r="347" spans="1:5" ht="12.75" customHeight="1" x14ac:dyDescent="0.2">
      <c r="A347" s="53"/>
      <c r="C347" s="53"/>
      <c r="D347" s="53"/>
      <c r="E347" s="53"/>
    </row>
    <row r="348" spans="1:5" ht="12.75" customHeight="1" x14ac:dyDescent="0.2">
      <c r="A348" s="53"/>
      <c r="C348" s="53"/>
      <c r="D348" s="53"/>
      <c r="E348" s="53"/>
    </row>
    <row r="349" spans="1:5" ht="12.75" customHeight="1" x14ac:dyDescent="0.2">
      <c r="A349" s="53"/>
      <c r="C349" s="53"/>
      <c r="D349" s="53"/>
      <c r="E349" s="53"/>
    </row>
    <row r="350" spans="1:5" ht="12.75" customHeight="1" x14ac:dyDescent="0.2">
      <c r="A350" s="53"/>
      <c r="C350" s="53"/>
      <c r="D350" s="53"/>
      <c r="E350" s="53"/>
    </row>
    <row r="351" spans="1:5" ht="12.75" customHeight="1" x14ac:dyDescent="0.2">
      <c r="A351" s="53"/>
      <c r="C351" s="53"/>
      <c r="D351" s="53"/>
      <c r="E351" s="53"/>
    </row>
    <row r="352" spans="1:5" ht="12.75" customHeight="1" x14ac:dyDescent="0.2">
      <c r="A352" s="53"/>
      <c r="C352" s="53"/>
      <c r="D352" s="53"/>
      <c r="E352" s="53"/>
    </row>
    <row r="353" spans="1:5" ht="12.75" customHeight="1" x14ac:dyDescent="0.2">
      <c r="A353" s="53"/>
      <c r="C353" s="53"/>
      <c r="D353" s="53"/>
      <c r="E353" s="53"/>
    </row>
    <row r="354" spans="1:5" ht="12.75" customHeight="1" x14ac:dyDescent="0.2">
      <c r="A354" s="53"/>
      <c r="C354" s="53"/>
      <c r="D354" s="53"/>
      <c r="E354" s="53"/>
    </row>
    <row r="355" spans="1:5" ht="12.75" customHeight="1" x14ac:dyDescent="0.2">
      <c r="A355" s="53"/>
      <c r="C355" s="53"/>
      <c r="D355" s="53"/>
      <c r="E355" s="53"/>
    </row>
    <row r="356" spans="1:5" ht="12.75" customHeight="1" x14ac:dyDescent="0.2">
      <c r="A356" s="53"/>
      <c r="C356" s="53"/>
      <c r="D356" s="53"/>
      <c r="E356" s="53"/>
    </row>
    <row r="357" spans="1:5" ht="12.75" customHeight="1" x14ac:dyDescent="0.2">
      <c r="A357" s="53"/>
      <c r="C357" s="53"/>
      <c r="D357" s="53"/>
      <c r="E357" s="53"/>
    </row>
    <row r="358" spans="1:5" ht="12.75" customHeight="1" x14ac:dyDescent="0.2">
      <c r="A358" s="53"/>
      <c r="C358" s="53"/>
      <c r="D358" s="53"/>
      <c r="E358" s="53"/>
    </row>
    <row r="359" spans="1:5" ht="12.75" customHeight="1" x14ac:dyDescent="0.2">
      <c r="A359" s="53"/>
      <c r="C359" s="53"/>
      <c r="D359" s="53"/>
      <c r="E359" s="53"/>
    </row>
    <row r="360" spans="1:5" ht="12.75" customHeight="1" x14ac:dyDescent="0.2">
      <c r="A360" s="53"/>
      <c r="C360" s="53"/>
      <c r="D360" s="53"/>
      <c r="E360" s="53"/>
    </row>
    <row r="361" spans="1:5" ht="12.75" customHeight="1" x14ac:dyDescent="0.2">
      <c r="A361" s="53"/>
      <c r="C361" s="53"/>
      <c r="D361" s="53"/>
      <c r="E361" s="53"/>
    </row>
    <row r="362" spans="1:5" ht="12.75" customHeight="1" x14ac:dyDescent="0.2">
      <c r="A362" s="53"/>
      <c r="C362" s="53"/>
      <c r="D362" s="53"/>
      <c r="E362" s="53"/>
    </row>
    <row r="363" spans="1:5" ht="12.75" customHeight="1" x14ac:dyDescent="0.2">
      <c r="A363" s="53"/>
      <c r="C363" s="53"/>
      <c r="D363" s="53"/>
      <c r="E363" s="53"/>
    </row>
    <row r="364" spans="1:5" ht="12.75" customHeight="1" x14ac:dyDescent="0.2">
      <c r="A364" s="53"/>
      <c r="C364" s="53"/>
      <c r="D364" s="53"/>
      <c r="E364" s="53"/>
    </row>
    <row r="365" spans="1:5" ht="12.75" customHeight="1" x14ac:dyDescent="0.2">
      <c r="A365" s="53"/>
      <c r="C365" s="53"/>
      <c r="D365" s="53"/>
      <c r="E365" s="53"/>
    </row>
    <row r="366" spans="1:5" ht="12.75" customHeight="1" x14ac:dyDescent="0.2">
      <c r="A366" s="53"/>
      <c r="C366" s="53"/>
      <c r="D366" s="53"/>
      <c r="E366" s="53"/>
    </row>
    <row r="367" spans="1:5" ht="12.75" customHeight="1" x14ac:dyDescent="0.2">
      <c r="A367" s="53"/>
      <c r="C367" s="53"/>
      <c r="D367" s="53"/>
      <c r="E367" s="53"/>
    </row>
    <row r="368" spans="1:5" ht="12.75" customHeight="1" x14ac:dyDescent="0.2">
      <c r="A368" s="53"/>
      <c r="C368" s="53"/>
      <c r="D368" s="53"/>
      <c r="E368" s="53"/>
    </row>
    <row r="369" spans="1:5" ht="12.75" customHeight="1" x14ac:dyDescent="0.2">
      <c r="A369" s="53"/>
      <c r="C369" s="53"/>
      <c r="D369" s="53"/>
      <c r="E369" s="53"/>
    </row>
    <row r="370" spans="1:5" ht="12.75" customHeight="1" x14ac:dyDescent="0.2">
      <c r="A370" s="53"/>
      <c r="C370" s="53"/>
      <c r="D370" s="53"/>
      <c r="E370" s="53"/>
    </row>
    <row r="371" spans="1:5" ht="12.75" customHeight="1" x14ac:dyDescent="0.2">
      <c r="A371" s="53"/>
      <c r="C371" s="53"/>
      <c r="D371" s="53"/>
      <c r="E371" s="53"/>
    </row>
    <row r="372" spans="1:5" ht="12.75" customHeight="1" x14ac:dyDescent="0.2">
      <c r="A372" s="53"/>
      <c r="C372" s="53"/>
      <c r="D372" s="53"/>
      <c r="E372" s="53"/>
    </row>
    <row r="373" spans="1:5" ht="12.75" customHeight="1" x14ac:dyDescent="0.2">
      <c r="A373" s="53"/>
      <c r="C373" s="53"/>
      <c r="D373" s="53"/>
      <c r="E373" s="53"/>
    </row>
    <row r="374" spans="1:5" ht="12.75" customHeight="1" x14ac:dyDescent="0.2">
      <c r="A374" s="53"/>
      <c r="C374" s="53"/>
      <c r="D374" s="53"/>
      <c r="E374" s="53"/>
    </row>
    <row r="375" spans="1:5" ht="12.75" customHeight="1" x14ac:dyDescent="0.2">
      <c r="A375" s="53"/>
      <c r="C375" s="53"/>
      <c r="D375" s="53"/>
      <c r="E375" s="53"/>
    </row>
    <row r="376" spans="1:5" ht="12.75" customHeight="1" x14ac:dyDescent="0.2">
      <c r="A376" s="53"/>
      <c r="C376" s="53"/>
      <c r="D376" s="53"/>
      <c r="E376" s="53"/>
    </row>
    <row r="377" spans="1:5" ht="12.75" customHeight="1" x14ac:dyDescent="0.2">
      <c r="A377" s="53"/>
      <c r="C377" s="53"/>
      <c r="D377" s="53"/>
      <c r="E377" s="53"/>
    </row>
    <row r="378" spans="1:5" ht="12.75" customHeight="1" x14ac:dyDescent="0.2">
      <c r="A378" s="53"/>
      <c r="C378" s="53"/>
      <c r="D378" s="53"/>
      <c r="E378" s="53"/>
    </row>
    <row r="379" spans="1:5" ht="12.75" customHeight="1" x14ac:dyDescent="0.2">
      <c r="A379" s="53"/>
      <c r="C379" s="53"/>
      <c r="D379" s="53"/>
      <c r="E379" s="53"/>
    </row>
    <row r="380" spans="1:5" ht="12.75" customHeight="1" x14ac:dyDescent="0.2">
      <c r="A380" s="53"/>
      <c r="C380" s="53"/>
      <c r="D380" s="53"/>
      <c r="E380" s="53"/>
    </row>
    <row r="381" spans="1:5" ht="12.75" customHeight="1" x14ac:dyDescent="0.2">
      <c r="A381" s="53"/>
      <c r="C381" s="53"/>
      <c r="D381" s="53"/>
      <c r="E381" s="53"/>
    </row>
    <row r="382" spans="1:5" ht="12.75" customHeight="1" x14ac:dyDescent="0.2">
      <c r="A382" s="53"/>
      <c r="C382" s="53"/>
      <c r="D382" s="53"/>
      <c r="E382" s="53"/>
    </row>
    <row r="383" spans="1:5" ht="12.75" customHeight="1" x14ac:dyDescent="0.2">
      <c r="A383" s="53"/>
      <c r="C383" s="53"/>
      <c r="D383" s="53"/>
      <c r="E383" s="53"/>
    </row>
    <row r="384" spans="1:5" ht="12.75" customHeight="1" x14ac:dyDescent="0.2">
      <c r="A384" s="53"/>
      <c r="C384" s="53"/>
      <c r="D384" s="53"/>
      <c r="E384" s="53"/>
    </row>
    <row r="385" spans="1:5" ht="12.75" customHeight="1" x14ac:dyDescent="0.2">
      <c r="A385" s="53"/>
      <c r="C385" s="53"/>
      <c r="D385" s="53"/>
      <c r="E385" s="53"/>
    </row>
    <row r="386" spans="1:5" ht="12.75" customHeight="1" x14ac:dyDescent="0.2">
      <c r="A386" s="53"/>
      <c r="C386" s="53"/>
      <c r="D386" s="53"/>
      <c r="E386" s="53"/>
    </row>
    <row r="387" spans="1:5" ht="12.75" customHeight="1" x14ac:dyDescent="0.2">
      <c r="A387" s="53"/>
      <c r="C387" s="53"/>
      <c r="D387" s="53"/>
      <c r="E387" s="53"/>
    </row>
    <row r="388" spans="1:5" ht="12.75" customHeight="1" x14ac:dyDescent="0.2">
      <c r="A388" s="53"/>
      <c r="C388" s="53"/>
      <c r="D388" s="53"/>
      <c r="E388" s="53"/>
    </row>
    <row r="389" spans="1:5" ht="12.75" customHeight="1" x14ac:dyDescent="0.2">
      <c r="A389" s="53"/>
      <c r="C389" s="53"/>
      <c r="D389" s="53"/>
      <c r="E389" s="53"/>
    </row>
    <row r="390" spans="1:5" ht="12.75" customHeight="1" x14ac:dyDescent="0.2">
      <c r="A390" s="53"/>
      <c r="C390" s="53"/>
      <c r="D390" s="53"/>
      <c r="E390" s="53"/>
    </row>
    <row r="391" spans="1:5" ht="12.75" customHeight="1" x14ac:dyDescent="0.2">
      <c r="A391" s="53"/>
      <c r="C391" s="53"/>
      <c r="D391" s="53"/>
      <c r="E391" s="53"/>
    </row>
    <row r="392" spans="1:5" ht="12.75" customHeight="1" x14ac:dyDescent="0.2">
      <c r="A392" s="53"/>
      <c r="C392" s="53"/>
      <c r="D392" s="53"/>
      <c r="E392" s="53"/>
    </row>
    <row r="393" spans="1:5" ht="12.75" customHeight="1" x14ac:dyDescent="0.2">
      <c r="A393" s="53"/>
      <c r="C393" s="53"/>
      <c r="D393" s="53"/>
      <c r="E393" s="53"/>
    </row>
    <row r="394" spans="1:5" ht="12.75" customHeight="1" x14ac:dyDescent="0.2">
      <c r="A394" s="53"/>
      <c r="C394" s="53"/>
      <c r="D394" s="53"/>
      <c r="E394" s="53"/>
    </row>
    <row r="395" spans="1:5" ht="12.75" customHeight="1" x14ac:dyDescent="0.2">
      <c r="A395" s="53"/>
      <c r="C395" s="53"/>
      <c r="D395" s="53"/>
      <c r="E395" s="53"/>
    </row>
    <row r="396" spans="1:5" ht="12.75" customHeight="1" x14ac:dyDescent="0.2">
      <c r="A396" s="53"/>
      <c r="C396" s="53"/>
      <c r="D396" s="53"/>
      <c r="E396" s="53"/>
    </row>
    <row r="397" spans="1:5" ht="12.75" customHeight="1" x14ac:dyDescent="0.2">
      <c r="A397" s="53"/>
      <c r="C397" s="53"/>
      <c r="D397" s="53"/>
      <c r="E397" s="53"/>
    </row>
    <row r="398" spans="1:5" ht="12.75" customHeight="1" x14ac:dyDescent="0.2">
      <c r="A398" s="53"/>
      <c r="C398" s="53"/>
      <c r="D398" s="53"/>
      <c r="E398" s="53"/>
    </row>
    <row r="399" spans="1:5" ht="12.75" customHeight="1" x14ac:dyDescent="0.2">
      <c r="A399" s="53"/>
      <c r="C399" s="53"/>
      <c r="D399" s="53"/>
      <c r="E399" s="53"/>
    </row>
    <row r="400" spans="1:5" ht="12.75" customHeight="1" x14ac:dyDescent="0.2">
      <c r="A400" s="53"/>
      <c r="C400" s="53"/>
      <c r="D400" s="53"/>
      <c r="E400" s="53"/>
    </row>
    <row r="401" spans="1:5" ht="12.75" customHeight="1" x14ac:dyDescent="0.2">
      <c r="A401" s="53"/>
      <c r="C401" s="53"/>
      <c r="D401" s="53"/>
      <c r="E401" s="53"/>
    </row>
    <row r="402" spans="1:5" ht="12.75" customHeight="1" x14ac:dyDescent="0.2">
      <c r="A402" s="53"/>
      <c r="C402" s="53"/>
      <c r="D402" s="53"/>
      <c r="E402" s="53"/>
    </row>
    <row r="403" spans="1:5" ht="12.75" customHeight="1" x14ac:dyDescent="0.2">
      <c r="A403" s="53"/>
      <c r="C403" s="53"/>
      <c r="D403" s="53"/>
      <c r="E403" s="53"/>
    </row>
    <row r="404" spans="1:5" ht="12.75" customHeight="1" x14ac:dyDescent="0.2">
      <c r="A404" s="53"/>
      <c r="C404" s="53"/>
      <c r="D404" s="53"/>
      <c r="E404" s="53"/>
    </row>
    <row r="405" spans="1:5" ht="12.75" customHeight="1" x14ac:dyDescent="0.2">
      <c r="A405" s="53"/>
      <c r="C405" s="53"/>
      <c r="D405" s="53"/>
      <c r="E405" s="53"/>
    </row>
    <row r="406" spans="1:5" ht="12.75" customHeight="1" x14ac:dyDescent="0.2">
      <c r="A406" s="53"/>
      <c r="C406" s="53"/>
      <c r="D406" s="53"/>
      <c r="E406" s="53"/>
    </row>
    <row r="407" spans="1:5" ht="12.75" customHeight="1" x14ac:dyDescent="0.2">
      <c r="A407" s="53"/>
      <c r="C407" s="53"/>
      <c r="D407" s="53"/>
      <c r="E407" s="53"/>
    </row>
    <row r="408" spans="1:5" ht="12.75" customHeight="1" x14ac:dyDescent="0.2">
      <c r="A408" s="53"/>
      <c r="C408" s="53"/>
      <c r="D408" s="53"/>
      <c r="E408" s="53"/>
    </row>
    <row r="409" spans="1:5" ht="12.75" customHeight="1" x14ac:dyDescent="0.2">
      <c r="A409" s="53"/>
      <c r="C409" s="53"/>
      <c r="D409" s="53"/>
      <c r="E409" s="53"/>
    </row>
    <row r="410" spans="1:5" ht="12.75" customHeight="1" x14ac:dyDescent="0.2">
      <c r="A410" s="53"/>
      <c r="C410" s="53"/>
      <c r="D410" s="53"/>
      <c r="E410" s="53"/>
    </row>
    <row r="411" spans="1:5" ht="12.75" customHeight="1" x14ac:dyDescent="0.2">
      <c r="A411" s="53"/>
      <c r="C411" s="53"/>
      <c r="D411" s="53"/>
      <c r="E411" s="53"/>
    </row>
    <row r="412" spans="1:5" ht="12.75" customHeight="1" x14ac:dyDescent="0.2">
      <c r="A412" s="53"/>
      <c r="C412" s="53"/>
      <c r="D412" s="53"/>
      <c r="E412" s="53"/>
    </row>
    <row r="413" spans="1:5" ht="12.75" customHeight="1" x14ac:dyDescent="0.2">
      <c r="A413" s="53"/>
      <c r="C413" s="53"/>
      <c r="D413" s="53"/>
      <c r="E413" s="53"/>
    </row>
    <row r="414" spans="1:5" ht="12.75" customHeight="1" x14ac:dyDescent="0.2">
      <c r="A414" s="53"/>
      <c r="C414" s="53"/>
      <c r="D414" s="53"/>
      <c r="E414" s="53"/>
    </row>
    <row r="415" spans="1:5" ht="12.75" customHeight="1" x14ac:dyDescent="0.2">
      <c r="A415" s="53"/>
      <c r="C415" s="53"/>
      <c r="D415" s="53"/>
      <c r="E415" s="53"/>
    </row>
    <row r="416" spans="1:5" ht="12.75" customHeight="1" x14ac:dyDescent="0.2">
      <c r="A416" s="53"/>
      <c r="C416" s="53"/>
      <c r="D416" s="53"/>
      <c r="E416" s="53"/>
    </row>
    <row r="417" spans="1:5" ht="12.75" customHeight="1" x14ac:dyDescent="0.2">
      <c r="A417" s="53"/>
      <c r="C417" s="53"/>
      <c r="D417" s="53"/>
      <c r="E417" s="53"/>
    </row>
    <row r="418" spans="1:5" ht="12.75" customHeight="1" x14ac:dyDescent="0.2">
      <c r="A418" s="53"/>
      <c r="C418" s="53"/>
      <c r="D418" s="53"/>
      <c r="E418" s="53"/>
    </row>
    <row r="419" spans="1:5" ht="12.75" customHeight="1" x14ac:dyDescent="0.2">
      <c r="A419" s="53"/>
      <c r="C419" s="53"/>
      <c r="D419" s="53"/>
      <c r="E419" s="53"/>
    </row>
    <row r="420" spans="1:5" ht="12.75" customHeight="1" x14ac:dyDescent="0.2">
      <c r="A420" s="53"/>
      <c r="C420" s="53"/>
      <c r="D420" s="53"/>
      <c r="E420" s="53"/>
    </row>
    <row r="421" spans="1:5" ht="12.75" customHeight="1" x14ac:dyDescent="0.2">
      <c r="A421" s="53"/>
      <c r="C421" s="53"/>
      <c r="D421" s="53"/>
      <c r="E421" s="53"/>
    </row>
    <row r="422" spans="1:5" ht="12.75" customHeight="1" x14ac:dyDescent="0.2">
      <c r="A422" s="53"/>
      <c r="C422" s="53"/>
      <c r="D422" s="53"/>
      <c r="E422" s="53"/>
    </row>
    <row r="423" spans="1:5" ht="12.75" customHeight="1" x14ac:dyDescent="0.2">
      <c r="A423" s="53"/>
      <c r="C423" s="53"/>
      <c r="D423" s="53"/>
      <c r="E423" s="53"/>
    </row>
    <row r="424" spans="1:5" ht="12.75" customHeight="1" x14ac:dyDescent="0.2">
      <c r="A424" s="53"/>
      <c r="C424" s="53"/>
      <c r="D424" s="53"/>
      <c r="E424" s="53"/>
    </row>
    <row r="425" spans="1:5" ht="12.75" customHeight="1" x14ac:dyDescent="0.2">
      <c r="A425" s="53"/>
      <c r="C425" s="53"/>
      <c r="D425" s="53"/>
      <c r="E425" s="53"/>
    </row>
    <row r="426" spans="1:5" ht="12.75" customHeight="1" x14ac:dyDescent="0.2">
      <c r="A426" s="53"/>
      <c r="C426" s="53"/>
      <c r="D426" s="53"/>
      <c r="E426" s="53"/>
    </row>
    <row r="427" spans="1:5" ht="12.75" customHeight="1" x14ac:dyDescent="0.2">
      <c r="A427" s="53"/>
      <c r="C427" s="53"/>
      <c r="D427" s="53"/>
      <c r="E427" s="53"/>
    </row>
    <row r="428" spans="1:5" ht="12.75" customHeight="1" x14ac:dyDescent="0.2">
      <c r="A428" s="53"/>
      <c r="C428" s="53"/>
      <c r="D428" s="53"/>
      <c r="E428" s="53"/>
    </row>
    <row r="429" spans="1:5" ht="12.75" customHeight="1" x14ac:dyDescent="0.2">
      <c r="A429" s="53"/>
      <c r="C429" s="53"/>
      <c r="D429" s="53"/>
      <c r="E429" s="53"/>
    </row>
    <row r="430" spans="1:5" ht="12.75" customHeight="1" x14ac:dyDescent="0.2">
      <c r="A430" s="53"/>
      <c r="C430" s="53"/>
      <c r="D430" s="53"/>
      <c r="E430" s="53"/>
    </row>
    <row r="431" spans="1:5" ht="12.75" customHeight="1" x14ac:dyDescent="0.2">
      <c r="A431" s="53"/>
      <c r="C431" s="53"/>
      <c r="D431" s="53"/>
      <c r="E431" s="53"/>
    </row>
    <row r="432" spans="1:5" ht="12.75" customHeight="1" x14ac:dyDescent="0.2">
      <c r="A432" s="53"/>
      <c r="C432" s="53"/>
      <c r="D432" s="53"/>
      <c r="E432" s="53"/>
    </row>
    <row r="433" spans="1:5" ht="12.75" customHeight="1" x14ac:dyDescent="0.2">
      <c r="A433" s="53"/>
      <c r="C433" s="53"/>
      <c r="D433" s="53"/>
      <c r="E433" s="53"/>
    </row>
    <row r="434" spans="1:5" ht="12.75" customHeight="1" x14ac:dyDescent="0.2">
      <c r="A434" s="53"/>
      <c r="C434" s="53"/>
      <c r="D434" s="53"/>
      <c r="E434" s="53"/>
    </row>
    <row r="435" spans="1:5" ht="12.75" customHeight="1" x14ac:dyDescent="0.2">
      <c r="A435" s="53"/>
      <c r="C435" s="53"/>
      <c r="D435" s="53"/>
      <c r="E435" s="53"/>
    </row>
    <row r="436" spans="1:5" ht="12.75" customHeight="1" x14ac:dyDescent="0.2">
      <c r="A436" s="53"/>
      <c r="C436" s="53"/>
      <c r="D436" s="53"/>
      <c r="E436" s="53"/>
    </row>
    <row r="437" spans="1:5" ht="12.75" customHeight="1" x14ac:dyDescent="0.2">
      <c r="A437" s="53"/>
      <c r="C437" s="53"/>
      <c r="D437" s="53"/>
      <c r="E437" s="53"/>
    </row>
    <row r="438" spans="1:5" ht="12.75" customHeight="1" x14ac:dyDescent="0.2">
      <c r="A438" s="53"/>
      <c r="C438" s="53"/>
      <c r="D438" s="53"/>
      <c r="E438" s="53"/>
    </row>
    <row r="439" spans="1:5" ht="12.75" customHeight="1" x14ac:dyDescent="0.2">
      <c r="A439" s="53"/>
      <c r="C439" s="53"/>
      <c r="D439" s="53"/>
      <c r="E439" s="53"/>
    </row>
    <row r="440" spans="1:5" ht="12.75" customHeight="1" x14ac:dyDescent="0.2">
      <c r="A440" s="53"/>
      <c r="C440" s="53"/>
      <c r="D440" s="53"/>
      <c r="E440" s="53"/>
    </row>
    <row r="441" spans="1:5" ht="12.75" customHeight="1" x14ac:dyDescent="0.2">
      <c r="A441" s="53"/>
      <c r="C441" s="53"/>
      <c r="D441" s="53"/>
      <c r="E441" s="53"/>
    </row>
    <row r="442" spans="1:5" ht="12.75" customHeight="1" x14ac:dyDescent="0.2">
      <c r="A442" s="53"/>
      <c r="C442" s="53"/>
      <c r="D442" s="53"/>
      <c r="E442" s="53"/>
    </row>
    <row r="443" spans="1:5" ht="12.75" customHeight="1" x14ac:dyDescent="0.2">
      <c r="A443" s="53"/>
      <c r="C443" s="53"/>
      <c r="D443" s="53"/>
      <c r="E443" s="53"/>
    </row>
    <row r="444" spans="1:5" ht="12.75" customHeight="1" x14ac:dyDescent="0.2">
      <c r="A444" s="53"/>
      <c r="C444" s="53"/>
      <c r="D444" s="53"/>
      <c r="E444" s="53"/>
    </row>
    <row r="445" spans="1:5" ht="12.75" customHeight="1" x14ac:dyDescent="0.2">
      <c r="A445" s="53"/>
      <c r="C445" s="53"/>
      <c r="D445" s="53"/>
      <c r="E445" s="53"/>
    </row>
    <row r="446" spans="1:5" ht="12.75" customHeight="1" x14ac:dyDescent="0.2">
      <c r="A446" s="53"/>
      <c r="C446" s="53"/>
      <c r="D446" s="53"/>
      <c r="E446" s="53"/>
    </row>
    <row r="447" spans="1:5" ht="12.75" customHeight="1" x14ac:dyDescent="0.2">
      <c r="A447" s="53"/>
      <c r="C447" s="53"/>
      <c r="D447" s="53"/>
      <c r="E447" s="53"/>
    </row>
    <row r="448" spans="1:5" ht="12.75" customHeight="1" x14ac:dyDescent="0.2">
      <c r="A448" s="53"/>
      <c r="C448" s="53"/>
      <c r="D448" s="53"/>
      <c r="E448" s="53"/>
    </row>
    <row r="449" spans="1:5" ht="12.75" customHeight="1" x14ac:dyDescent="0.2">
      <c r="A449" s="53"/>
      <c r="C449" s="53"/>
      <c r="D449" s="53"/>
      <c r="E449" s="53"/>
    </row>
    <row r="450" spans="1:5" ht="12.75" customHeight="1" x14ac:dyDescent="0.2">
      <c r="A450" s="53"/>
      <c r="C450" s="53"/>
      <c r="D450" s="53"/>
      <c r="E450" s="53"/>
    </row>
    <row r="451" spans="1:5" ht="12.75" customHeight="1" x14ac:dyDescent="0.2">
      <c r="A451" s="53"/>
      <c r="C451" s="53"/>
      <c r="D451" s="53"/>
      <c r="E451" s="53"/>
    </row>
    <row r="452" spans="1:5" ht="12.75" customHeight="1" x14ac:dyDescent="0.2">
      <c r="A452" s="53"/>
      <c r="C452" s="53"/>
      <c r="D452" s="53"/>
      <c r="E452" s="53"/>
    </row>
    <row r="453" spans="1:5" ht="12.75" customHeight="1" x14ac:dyDescent="0.2">
      <c r="A453" s="53"/>
      <c r="C453" s="53"/>
      <c r="D453" s="53"/>
      <c r="E453" s="53"/>
    </row>
    <row r="454" spans="1:5" ht="12.75" customHeight="1" x14ac:dyDescent="0.2">
      <c r="A454" s="53"/>
      <c r="C454" s="53"/>
      <c r="D454" s="53"/>
      <c r="E454" s="53"/>
    </row>
    <row r="455" spans="1:5" ht="12.75" customHeight="1" x14ac:dyDescent="0.2">
      <c r="A455" s="53"/>
      <c r="C455" s="53"/>
      <c r="D455" s="53"/>
      <c r="E455" s="53"/>
    </row>
    <row r="456" spans="1:5" ht="12.75" customHeight="1" x14ac:dyDescent="0.2">
      <c r="A456" s="53"/>
      <c r="C456" s="53"/>
      <c r="D456" s="53"/>
      <c r="E456" s="53"/>
    </row>
    <row r="457" spans="1:5" ht="12.75" customHeight="1" x14ac:dyDescent="0.2">
      <c r="A457" s="53"/>
      <c r="C457" s="53"/>
      <c r="D457" s="53"/>
      <c r="E457" s="53"/>
    </row>
    <row r="458" spans="1:5" ht="12.75" customHeight="1" x14ac:dyDescent="0.2">
      <c r="A458" s="53"/>
      <c r="C458" s="53"/>
      <c r="D458" s="53"/>
      <c r="E458" s="53"/>
    </row>
    <row r="459" spans="1:5" ht="12.75" customHeight="1" x14ac:dyDescent="0.2">
      <c r="A459" s="53"/>
      <c r="C459" s="53"/>
      <c r="D459" s="53"/>
      <c r="E459" s="53"/>
    </row>
    <row r="460" spans="1:5" ht="12.75" customHeight="1" x14ac:dyDescent="0.2">
      <c r="A460" s="53"/>
      <c r="C460" s="53"/>
      <c r="D460" s="53"/>
      <c r="E460" s="53"/>
    </row>
    <row r="461" spans="1:5" ht="12.75" customHeight="1" x14ac:dyDescent="0.2">
      <c r="A461" s="53"/>
      <c r="C461" s="53"/>
      <c r="D461" s="53"/>
      <c r="E461" s="53"/>
    </row>
    <row r="462" spans="1:5" ht="12.75" customHeight="1" x14ac:dyDescent="0.2">
      <c r="A462" s="53"/>
      <c r="C462" s="53"/>
      <c r="D462" s="53"/>
      <c r="E462" s="53"/>
    </row>
    <row r="463" spans="1:5" ht="12.75" customHeight="1" x14ac:dyDescent="0.2">
      <c r="A463" s="53"/>
      <c r="C463" s="53"/>
      <c r="D463" s="53"/>
      <c r="E463" s="53"/>
    </row>
    <row r="464" spans="1:5" ht="12.75" customHeight="1" x14ac:dyDescent="0.2">
      <c r="A464" s="53"/>
      <c r="C464" s="53"/>
      <c r="D464" s="53"/>
      <c r="E464" s="53"/>
    </row>
    <row r="465" spans="1:5" ht="12.75" customHeight="1" x14ac:dyDescent="0.2">
      <c r="A465" s="53"/>
      <c r="C465" s="53"/>
      <c r="D465" s="53"/>
      <c r="E465" s="53"/>
    </row>
    <row r="466" spans="1:5" ht="12.75" customHeight="1" x14ac:dyDescent="0.2">
      <c r="A466" s="53"/>
      <c r="C466" s="53"/>
      <c r="D466" s="53"/>
      <c r="E466" s="53"/>
    </row>
    <row r="467" spans="1:5" ht="12.75" customHeight="1" x14ac:dyDescent="0.2">
      <c r="A467" s="53"/>
      <c r="C467" s="53"/>
      <c r="D467" s="53"/>
      <c r="E467" s="53"/>
    </row>
    <row r="468" spans="1:5" ht="12.75" customHeight="1" x14ac:dyDescent="0.2">
      <c r="A468" s="53"/>
      <c r="C468" s="53"/>
      <c r="D468" s="53"/>
      <c r="E468" s="53"/>
    </row>
    <row r="469" spans="1:5" ht="12.75" customHeight="1" x14ac:dyDescent="0.2">
      <c r="A469" s="53"/>
      <c r="C469" s="53"/>
      <c r="D469" s="53"/>
      <c r="E469" s="53"/>
    </row>
    <row r="470" spans="1:5" ht="12.75" customHeight="1" x14ac:dyDescent="0.2">
      <c r="A470" s="53"/>
      <c r="C470" s="53"/>
      <c r="D470" s="53"/>
      <c r="E470" s="53"/>
    </row>
    <row r="471" spans="1:5" ht="12.75" customHeight="1" x14ac:dyDescent="0.2">
      <c r="A471" s="53"/>
      <c r="C471" s="53"/>
      <c r="D471" s="53"/>
      <c r="E471" s="53"/>
    </row>
    <row r="472" spans="1:5" ht="12.75" customHeight="1" x14ac:dyDescent="0.2">
      <c r="A472" s="53"/>
      <c r="C472" s="53"/>
      <c r="D472" s="53"/>
      <c r="E472" s="53"/>
    </row>
    <row r="473" spans="1:5" ht="12.75" customHeight="1" x14ac:dyDescent="0.2">
      <c r="A473" s="53"/>
      <c r="C473" s="53"/>
      <c r="D473" s="53"/>
      <c r="E473" s="53"/>
    </row>
    <row r="474" spans="1:5" ht="12.75" customHeight="1" x14ac:dyDescent="0.2">
      <c r="A474" s="53"/>
      <c r="C474" s="53"/>
      <c r="D474" s="53"/>
      <c r="E474" s="53"/>
    </row>
    <row r="475" spans="1:5" ht="12.75" customHeight="1" x14ac:dyDescent="0.2">
      <c r="A475" s="53"/>
      <c r="C475" s="53"/>
      <c r="D475" s="53"/>
      <c r="E475" s="53"/>
    </row>
    <row r="476" spans="1:5" ht="12.75" customHeight="1" x14ac:dyDescent="0.2">
      <c r="A476" s="53"/>
      <c r="C476" s="53"/>
      <c r="D476" s="53"/>
      <c r="E476" s="53"/>
    </row>
    <row r="477" spans="1:5" ht="12.75" customHeight="1" x14ac:dyDescent="0.2">
      <c r="A477" s="53"/>
      <c r="C477" s="53"/>
      <c r="D477" s="53"/>
      <c r="E477" s="53"/>
    </row>
    <row r="478" spans="1:5" ht="12.75" customHeight="1" x14ac:dyDescent="0.2">
      <c r="A478" s="53"/>
      <c r="C478" s="53"/>
      <c r="D478" s="53"/>
      <c r="E478" s="53"/>
    </row>
    <row r="479" spans="1:5" ht="12.75" customHeight="1" x14ac:dyDescent="0.2">
      <c r="A479" s="53"/>
      <c r="C479" s="53"/>
      <c r="D479" s="53"/>
      <c r="E479" s="53"/>
    </row>
    <row r="480" spans="1:5" ht="12.75" customHeight="1" x14ac:dyDescent="0.2">
      <c r="A480" s="53"/>
      <c r="C480" s="53"/>
      <c r="D480" s="53"/>
      <c r="E480" s="53"/>
    </row>
    <row r="481" spans="1:5" ht="12.75" customHeight="1" x14ac:dyDescent="0.2">
      <c r="A481" s="53"/>
      <c r="C481" s="53"/>
      <c r="D481" s="53"/>
      <c r="E481" s="53"/>
    </row>
    <row r="482" spans="1:5" ht="12.75" customHeight="1" x14ac:dyDescent="0.2">
      <c r="A482" s="53"/>
      <c r="C482" s="53"/>
      <c r="D482" s="53"/>
      <c r="E482" s="53"/>
    </row>
    <row r="483" spans="1:5" ht="12.75" customHeight="1" x14ac:dyDescent="0.2">
      <c r="A483" s="53"/>
      <c r="C483" s="53"/>
      <c r="D483" s="53"/>
      <c r="E483" s="53"/>
    </row>
    <row r="484" spans="1:5" ht="12.75" customHeight="1" x14ac:dyDescent="0.2">
      <c r="A484" s="53"/>
      <c r="C484" s="53"/>
      <c r="D484" s="53"/>
      <c r="E484" s="53"/>
    </row>
    <row r="485" spans="1:5" ht="12.75" customHeight="1" x14ac:dyDescent="0.2">
      <c r="A485" s="53"/>
      <c r="C485" s="53"/>
      <c r="D485" s="53"/>
      <c r="E485" s="53"/>
    </row>
    <row r="486" spans="1:5" ht="12.75" customHeight="1" x14ac:dyDescent="0.2">
      <c r="A486" s="53"/>
      <c r="C486" s="53"/>
      <c r="D486" s="53"/>
      <c r="E486" s="53"/>
    </row>
    <row r="487" spans="1:5" ht="12.75" customHeight="1" x14ac:dyDescent="0.2">
      <c r="A487" s="53"/>
      <c r="C487" s="53"/>
      <c r="D487" s="53"/>
      <c r="E487" s="53"/>
    </row>
    <row r="488" spans="1:5" ht="12.75" customHeight="1" x14ac:dyDescent="0.2">
      <c r="A488" s="53"/>
      <c r="C488" s="53"/>
      <c r="D488" s="53"/>
      <c r="E488" s="53"/>
    </row>
    <row r="489" spans="1:5" ht="12.75" customHeight="1" x14ac:dyDescent="0.2">
      <c r="A489" s="53"/>
      <c r="C489" s="53"/>
      <c r="D489" s="53"/>
      <c r="E489" s="53"/>
    </row>
    <row r="490" spans="1:5" ht="12.75" customHeight="1" x14ac:dyDescent="0.2">
      <c r="A490" s="53"/>
      <c r="C490" s="53"/>
      <c r="D490" s="53"/>
      <c r="E490" s="53"/>
    </row>
    <row r="491" spans="1:5" ht="12.75" customHeight="1" x14ac:dyDescent="0.2">
      <c r="A491" s="53"/>
      <c r="C491" s="53"/>
      <c r="D491" s="53"/>
      <c r="E491" s="53"/>
    </row>
    <row r="492" spans="1:5" ht="12.75" customHeight="1" x14ac:dyDescent="0.2">
      <c r="A492" s="53"/>
      <c r="C492" s="53"/>
      <c r="D492" s="53"/>
      <c r="E492" s="53"/>
    </row>
    <row r="493" spans="1:5" ht="12.75" customHeight="1" x14ac:dyDescent="0.2">
      <c r="A493" s="53"/>
      <c r="C493" s="53"/>
      <c r="D493" s="53"/>
      <c r="E493" s="53"/>
    </row>
    <row r="494" spans="1:5" ht="12.75" customHeight="1" x14ac:dyDescent="0.2">
      <c r="A494" s="53"/>
      <c r="C494" s="53"/>
      <c r="D494" s="53"/>
      <c r="E494" s="53"/>
    </row>
    <row r="495" spans="1:5" ht="12.75" customHeight="1" x14ac:dyDescent="0.2">
      <c r="A495" s="53"/>
      <c r="C495" s="53"/>
      <c r="D495" s="53"/>
      <c r="E495" s="53"/>
    </row>
    <row r="496" spans="1:5" ht="12.75" customHeight="1" x14ac:dyDescent="0.2">
      <c r="A496" s="53"/>
      <c r="C496" s="53"/>
      <c r="D496" s="53"/>
      <c r="E496" s="53"/>
    </row>
    <row r="497" spans="1:5" ht="12.75" customHeight="1" x14ac:dyDescent="0.2">
      <c r="A497" s="53"/>
      <c r="C497" s="53"/>
      <c r="D497" s="53"/>
      <c r="E497" s="53"/>
    </row>
    <row r="498" spans="1:5" ht="12.75" customHeight="1" x14ac:dyDescent="0.2">
      <c r="A498" s="53"/>
      <c r="C498" s="53"/>
      <c r="D498" s="53"/>
      <c r="E498" s="53"/>
    </row>
    <row r="499" spans="1:5" ht="12.75" customHeight="1" x14ac:dyDescent="0.2">
      <c r="A499" s="53"/>
      <c r="C499" s="53"/>
      <c r="D499" s="53"/>
      <c r="E499" s="53"/>
    </row>
    <row r="500" spans="1:5" ht="12.75" customHeight="1" x14ac:dyDescent="0.2">
      <c r="A500" s="53"/>
      <c r="C500" s="53"/>
      <c r="D500" s="53"/>
      <c r="E500" s="53"/>
    </row>
    <row r="501" spans="1:5" ht="12.75" customHeight="1" x14ac:dyDescent="0.2">
      <c r="A501" s="53"/>
      <c r="C501" s="53"/>
      <c r="D501" s="53"/>
      <c r="E501" s="53"/>
    </row>
    <row r="502" spans="1:5" ht="12.75" customHeight="1" x14ac:dyDescent="0.2">
      <c r="A502" s="53"/>
      <c r="C502" s="53"/>
      <c r="D502" s="53"/>
      <c r="E502" s="53"/>
    </row>
    <row r="503" spans="1:5" ht="12.75" customHeight="1" x14ac:dyDescent="0.2">
      <c r="A503" s="53"/>
      <c r="C503" s="53"/>
      <c r="D503" s="53"/>
      <c r="E503" s="53"/>
    </row>
    <row r="504" spans="1:5" ht="12.75" customHeight="1" x14ac:dyDescent="0.2">
      <c r="A504" s="53"/>
      <c r="C504" s="53"/>
      <c r="D504" s="53"/>
      <c r="E504" s="53"/>
    </row>
    <row r="505" spans="1:5" ht="12.75" customHeight="1" x14ac:dyDescent="0.2">
      <c r="A505" s="53"/>
      <c r="C505" s="53"/>
      <c r="D505" s="53"/>
      <c r="E505" s="53"/>
    </row>
    <row r="506" spans="1:5" ht="12.75" customHeight="1" x14ac:dyDescent="0.2">
      <c r="A506" s="53"/>
      <c r="C506" s="53"/>
      <c r="D506" s="53"/>
      <c r="E506" s="53"/>
    </row>
    <row r="507" spans="1:5" ht="12.75" customHeight="1" x14ac:dyDescent="0.2">
      <c r="A507" s="53"/>
      <c r="C507" s="53"/>
      <c r="D507" s="53"/>
      <c r="E507" s="53"/>
    </row>
    <row r="508" spans="1:5" ht="12.75" customHeight="1" x14ac:dyDescent="0.2">
      <c r="A508" s="53"/>
      <c r="C508" s="53"/>
      <c r="D508" s="53"/>
      <c r="E508" s="53"/>
    </row>
    <row r="509" spans="1:5" ht="12.75" customHeight="1" x14ac:dyDescent="0.2">
      <c r="A509" s="53"/>
      <c r="C509" s="53"/>
      <c r="D509" s="53"/>
      <c r="E509" s="53"/>
    </row>
    <row r="510" spans="1:5" ht="12.75" customHeight="1" x14ac:dyDescent="0.2">
      <c r="A510" s="53"/>
      <c r="C510" s="53"/>
      <c r="D510" s="53"/>
      <c r="E510" s="53"/>
    </row>
    <row r="511" spans="1:5" ht="12.75" customHeight="1" x14ac:dyDescent="0.2">
      <c r="A511" s="53"/>
      <c r="C511" s="53"/>
      <c r="D511" s="53"/>
      <c r="E511" s="53"/>
    </row>
    <row r="512" spans="1:5" ht="12.75" customHeight="1" x14ac:dyDescent="0.2">
      <c r="A512" s="53"/>
      <c r="C512" s="53"/>
      <c r="D512" s="53"/>
      <c r="E512" s="53"/>
    </row>
    <row r="513" spans="1:5" ht="12.75" customHeight="1" x14ac:dyDescent="0.2">
      <c r="A513" s="53"/>
      <c r="C513" s="53"/>
      <c r="D513" s="53"/>
      <c r="E513" s="53"/>
    </row>
    <row r="514" spans="1:5" ht="12.75" customHeight="1" x14ac:dyDescent="0.2">
      <c r="A514" s="53"/>
      <c r="C514" s="53"/>
      <c r="D514" s="53"/>
      <c r="E514" s="53"/>
    </row>
    <row r="515" spans="1:5" ht="12.75" customHeight="1" x14ac:dyDescent="0.2">
      <c r="A515" s="53"/>
      <c r="C515" s="53"/>
      <c r="D515" s="53"/>
      <c r="E515" s="53"/>
    </row>
    <row r="516" spans="1:5" ht="12.75" customHeight="1" x14ac:dyDescent="0.2">
      <c r="A516" s="53"/>
      <c r="C516" s="53"/>
      <c r="D516" s="53"/>
      <c r="E516" s="53"/>
    </row>
    <row r="517" spans="1:5" ht="12.75" customHeight="1" x14ac:dyDescent="0.2">
      <c r="A517" s="53"/>
      <c r="C517" s="53"/>
      <c r="D517" s="53"/>
      <c r="E517" s="53"/>
    </row>
    <row r="518" spans="1:5" ht="12.75" customHeight="1" x14ac:dyDescent="0.2">
      <c r="A518" s="53"/>
      <c r="C518" s="53"/>
      <c r="D518" s="53"/>
      <c r="E518" s="53"/>
    </row>
    <row r="519" spans="1:5" ht="12.75" customHeight="1" x14ac:dyDescent="0.2">
      <c r="A519" s="53"/>
      <c r="C519" s="53"/>
      <c r="D519" s="53"/>
      <c r="E519" s="53"/>
    </row>
    <row r="520" spans="1:5" ht="12.75" customHeight="1" x14ac:dyDescent="0.2">
      <c r="A520" s="53"/>
      <c r="C520" s="53"/>
      <c r="D520" s="53"/>
      <c r="E520" s="53"/>
    </row>
    <row r="521" spans="1:5" ht="12.75" customHeight="1" x14ac:dyDescent="0.2">
      <c r="A521" s="53"/>
      <c r="C521" s="53"/>
      <c r="D521" s="53"/>
      <c r="E521" s="53"/>
    </row>
    <row r="522" spans="1:5" ht="12.75" customHeight="1" x14ac:dyDescent="0.2">
      <c r="A522" s="53"/>
      <c r="C522" s="53"/>
      <c r="D522" s="53"/>
      <c r="E522" s="53"/>
    </row>
    <row r="523" spans="1:5" ht="12.75" customHeight="1" x14ac:dyDescent="0.2">
      <c r="A523" s="53"/>
      <c r="C523" s="53"/>
      <c r="D523" s="53"/>
      <c r="E523" s="53"/>
    </row>
    <row r="524" spans="1:5" ht="12.75" customHeight="1" x14ac:dyDescent="0.2">
      <c r="A524" s="53"/>
      <c r="C524" s="53"/>
      <c r="D524" s="53"/>
      <c r="E524" s="53"/>
    </row>
    <row r="525" spans="1:5" ht="12.75" customHeight="1" x14ac:dyDescent="0.2">
      <c r="A525" s="53"/>
      <c r="C525" s="53"/>
      <c r="D525" s="53"/>
      <c r="E525" s="53"/>
    </row>
    <row r="526" spans="1:5" ht="12.75" customHeight="1" x14ac:dyDescent="0.2">
      <c r="A526" s="53"/>
      <c r="C526" s="53"/>
      <c r="D526" s="53"/>
      <c r="E526" s="53"/>
    </row>
    <row r="527" spans="1:5" ht="12.75" customHeight="1" x14ac:dyDescent="0.2">
      <c r="A527" s="53"/>
      <c r="C527" s="53"/>
      <c r="D527" s="53"/>
      <c r="E527" s="53"/>
    </row>
    <row r="528" spans="1:5" ht="12.75" customHeight="1" x14ac:dyDescent="0.2">
      <c r="A528" s="53"/>
      <c r="C528" s="53"/>
      <c r="D528" s="53"/>
      <c r="E528" s="53"/>
    </row>
    <row r="529" spans="1:5" ht="12.75" customHeight="1" x14ac:dyDescent="0.2">
      <c r="A529" s="53"/>
      <c r="C529" s="53"/>
      <c r="D529" s="53"/>
      <c r="E529" s="53"/>
    </row>
    <row r="530" spans="1:5" ht="12.75" customHeight="1" x14ac:dyDescent="0.2">
      <c r="A530" s="53"/>
      <c r="C530" s="53"/>
      <c r="D530" s="53"/>
      <c r="E530" s="53"/>
    </row>
    <row r="531" spans="1:5" ht="12.75" customHeight="1" x14ac:dyDescent="0.2">
      <c r="A531" s="53"/>
      <c r="C531" s="53"/>
      <c r="D531" s="53"/>
      <c r="E531" s="53"/>
    </row>
    <row r="532" spans="1:5" ht="12.75" customHeight="1" x14ac:dyDescent="0.2">
      <c r="A532" s="53"/>
      <c r="C532" s="53"/>
      <c r="D532" s="53"/>
      <c r="E532" s="53"/>
    </row>
    <row r="533" spans="1:5" ht="12.75" customHeight="1" x14ac:dyDescent="0.2">
      <c r="A533" s="53"/>
      <c r="C533" s="53"/>
      <c r="D533" s="53"/>
      <c r="E533" s="53"/>
    </row>
    <row r="534" spans="1:5" ht="12.75" customHeight="1" x14ac:dyDescent="0.2">
      <c r="A534" s="53"/>
      <c r="C534" s="53"/>
      <c r="D534" s="53"/>
      <c r="E534" s="53"/>
    </row>
    <row r="535" spans="1:5" ht="12.75" customHeight="1" x14ac:dyDescent="0.2">
      <c r="A535" s="53"/>
      <c r="C535" s="53"/>
      <c r="D535" s="53"/>
      <c r="E535" s="53"/>
    </row>
    <row r="536" spans="1:5" ht="12.75" customHeight="1" x14ac:dyDescent="0.2">
      <c r="A536" s="53"/>
      <c r="C536" s="53"/>
      <c r="D536" s="53"/>
      <c r="E536" s="53"/>
    </row>
    <row r="537" spans="1:5" ht="12.75" customHeight="1" x14ac:dyDescent="0.2">
      <c r="A537" s="53"/>
      <c r="C537" s="53"/>
      <c r="D537" s="53"/>
      <c r="E537" s="53"/>
    </row>
    <row r="538" spans="1:5" ht="12.75" customHeight="1" x14ac:dyDescent="0.2">
      <c r="A538" s="53"/>
      <c r="C538" s="53"/>
      <c r="D538" s="53"/>
      <c r="E538" s="53"/>
    </row>
    <row r="539" spans="1:5" ht="12.75" customHeight="1" x14ac:dyDescent="0.2">
      <c r="A539" s="53"/>
      <c r="C539" s="53"/>
      <c r="D539" s="53"/>
      <c r="E539" s="53"/>
    </row>
    <row r="540" spans="1:5" ht="12.75" customHeight="1" x14ac:dyDescent="0.2">
      <c r="A540" s="53"/>
      <c r="C540" s="53"/>
      <c r="D540" s="53"/>
      <c r="E540" s="53"/>
    </row>
    <row r="541" spans="1:5" ht="12.75" customHeight="1" x14ac:dyDescent="0.2">
      <c r="A541" s="53"/>
      <c r="C541" s="53"/>
      <c r="D541" s="53"/>
      <c r="E541" s="53"/>
    </row>
    <row r="542" spans="1:5" ht="12.75" customHeight="1" x14ac:dyDescent="0.2">
      <c r="A542" s="53"/>
      <c r="C542" s="53"/>
      <c r="D542" s="53"/>
      <c r="E542" s="53"/>
    </row>
    <row r="543" spans="1:5" ht="12.75" customHeight="1" x14ac:dyDescent="0.2">
      <c r="A543" s="53"/>
      <c r="C543" s="53"/>
      <c r="D543" s="53"/>
      <c r="E543" s="53"/>
    </row>
    <row r="544" spans="1:5" ht="12.75" customHeight="1" x14ac:dyDescent="0.2">
      <c r="A544" s="53"/>
      <c r="C544" s="53"/>
      <c r="D544" s="53"/>
      <c r="E544" s="53"/>
    </row>
    <row r="545" spans="1:5" ht="12.75" customHeight="1" x14ac:dyDescent="0.2">
      <c r="A545" s="53"/>
      <c r="C545" s="53"/>
      <c r="D545" s="53"/>
      <c r="E545" s="53"/>
    </row>
    <row r="546" spans="1:5" ht="12.75" customHeight="1" x14ac:dyDescent="0.2">
      <c r="A546" s="53"/>
      <c r="C546" s="53"/>
      <c r="D546" s="53"/>
      <c r="E546" s="53"/>
    </row>
    <row r="547" spans="1:5" ht="12.75" customHeight="1" x14ac:dyDescent="0.2">
      <c r="A547" s="53"/>
      <c r="C547" s="53"/>
      <c r="D547" s="53"/>
      <c r="E547" s="53"/>
    </row>
    <row r="548" spans="1:5" ht="12.75" customHeight="1" x14ac:dyDescent="0.2">
      <c r="A548" s="53"/>
      <c r="C548" s="53"/>
      <c r="D548" s="53"/>
      <c r="E548" s="53"/>
    </row>
    <row r="549" spans="1:5" ht="12.75" customHeight="1" x14ac:dyDescent="0.2">
      <c r="A549" s="53"/>
      <c r="C549" s="53"/>
      <c r="D549" s="53"/>
      <c r="E549" s="53"/>
    </row>
    <row r="550" spans="1:5" ht="12.75" customHeight="1" x14ac:dyDescent="0.2">
      <c r="A550" s="53"/>
      <c r="C550" s="53"/>
      <c r="D550" s="53"/>
      <c r="E550" s="53"/>
    </row>
    <row r="551" spans="1:5" ht="12.75" customHeight="1" x14ac:dyDescent="0.2">
      <c r="A551" s="53"/>
      <c r="C551" s="53"/>
      <c r="D551" s="53"/>
      <c r="E551" s="53"/>
    </row>
    <row r="552" spans="1:5" ht="12.75" customHeight="1" x14ac:dyDescent="0.2">
      <c r="A552" s="53"/>
      <c r="C552" s="53"/>
      <c r="D552" s="53"/>
      <c r="E552" s="53"/>
    </row>
    <row r="553" spans="1:5" ht="12.75" customHeight="1" x14ac:dyDescent="0.2">
      <c r="A553" s="53"/>
      <c r="C553" s="53"/>
      <c r="D553" s="53"/>
      <c r="E553" s="53"/>
    </row>
    <row r="554" spans="1:5" ht="12.75" customHeight="1" x14ac:dyDescent="0.2">
      <c r="A554" s="53"/>
      <c r="C554" s="53"/>
      <c r="D554" s="53"/>
      <c r="E554" s="53"/>
    </row>
    <row r="555" spans="1:5" ht="12.75" customHeight="1" x14ac:dyDescent="0.2">
      <c r="A555" s="53"/>
      <c r="C555" s="53"/>
      <c r="D555" s="53"/>
      <c r="E555" s="53"/>
    </row>
    <row r="556" spans="1:5" ht="12.75" customHeight="1" x14ac:dyDescent="0.2">
      <c r="A556" s="53"/>
      <c r="C556" s="53"/>
      <c r="D556" s="53"/>
      <c r="E556" s="53"/>
    </row>
    <row r="557" spans="1:5" ht="12.75" customHeight="1" x14ac:dyDescent="0.2">
      <c r="A557" s="53"/>
      <c r="C557" s="53"/>
      <c r="D557" s="53"/>
      <c r="E557" s="53"/>
    </row>
    <row r="558" spans="1:5" ht="12.75" customHeight="1" x14ac:dyDescent="0.2">
      <c r="A558" s="53"/>
      <c r="C558" s="53"/>
      <c r="D558" s="53"/>
      <c r="E558" s="53"/>
    </row>
    <row r="559" spans="1:5" ht="12.75" customHeight="1" x14ac:dyDescent="0.2">
      <c r="A559" s="53"/>
      <c r="C559" s="53"/>
      <c r="D559" s="53"/>
      <c r="E559" s="53"/>
    </row>
    <row r="560" spans="1:5" ht="12.75" customHeight="1" x14ac:dyDescent="0.2">
      <c r="A560" s="53"/>
      <c r="C560" s="53"/>
      <c r="D560" s="53"/>
      <c r="E560" s="53"/>
    </row>
    <row r="561" spans="1:5" ht="12.75" customHeight="1" x14ac:dyDescent="0.2">
      <c r="A561" s="53"/>
      <c r="C561" s="53"/>
      <c r="D561" s="53"/>
      <c r="E561" s="53"/>
    </row>
    <row r="562" spans="1:5" ht="12.75" customHeight="1" x14ac:dyDescent="0.2">
      <c r="A562" s="53"/>
      <c r="C562" s="53"/>
      <c r="D562" s="53"/>
      <c r="E562" s="53"/>
    </row>
    <row r="563" spans="1:5" ht="12.75" customHeight="1" x14ac:dyDescent="0.2">
      <c r="A563" s="53"/>
      <c r="C563" s="53"/>
      <c r="D563" s="53"/>
      <c r="E563" s="53"/>
    </row>
    <row r="564" spans="1:5" ht="12.75" customHeight="1" x14ac:dyDescent="0.2">
      <c r="A564" s="53"/>
      <c r="C564" s="53"/>
      <c r="D564" s="53"/>
      <c r="E564" s="53"/>
    </row>
    <row r="565" spans="1:5" ht="12.75" customHeight="1" x14ac:dyDescent="0.2">
      <c r="A565" s="53"/>
      <c r="C565" s="53"/>
      <c r="D565" s="53"/>
      <c r="E565" s="53"/>
    </row>
    <row r="566" spans="1:5" ht="12.75" customHeight="1" x14ac:dyDescent="0.2">
      <c r="A566" s="53"/>
      <c r="C566" s="53"/>
      <c r="D566" s="53"/>
      <c r="E566" s="53"/>
    </row>
    <row r="567" spans="1:5" ht="12.75" customHeight="1" x14ac:dyDescent="0.2">
      <c r="A567" s="53"/>
      <c r="C567" s="53"/>
      <c r="D567" s="53"/>
      <c r="E567" s="53"/>
    </row>
    <row r="568" spans="1:5" ht="12.75" customHeight="1" x14ac:dyDescent="0.2">
      <c r="A568" s="53"/>
      <c r="C568" s="53"/>
      <c r="D568" s="53"/>
      <c r="E568" s="53"/>
    </row>
    <row r="569" spans="1:5" ht="12.75" customHeight="1" x14ac:dyDescent="0.2">
      <c r="A569" s="53"/>
      <c r="C569" s="53"/>
      <c r="D569" s="53"/>
      <c r="E569" s="53"/>
    </row>
    <row r="570" spans="1:5" ht="12.75" customHeight="1" x14ac:dyDescent="0.2">
      <c r="A570" s="53"/>
      <c r="C570" s="53"/>
      <c r="D570" s="53"/>
      <c r="E570" s="53"/>
    </row>
    <row r="571" spans="1:5" ht="12.75" customHeight="1" x14ac:dyDescent="0.2">
      <c r="A571" s="53"/>
      <c r="C571" s="53"/>
      <c r="D571" s="53"/>
      <c r="E571" s="53"/>
    </row>
    <row r="572" spans="1:5" ht="12.75" customHeight="1" x14ac:dyDescent="0.2">
      <c r="A572" s="53"/>
      <c r="C572" s="53"/>
      <c r="D572" s="53"/>
      <c r="E572" s="53"/>
    </row>
    <row r="573" spans="1:5" ht="12.75" customHeight="1" x14ac:dyDescent="0.2">
      <c r="A573" s="53"/>
      <c r="C573" s="53"/>
      <c r="D573" s="53"/>
      <c r="E573" s="53"/>
    </row>
    <row r="574" spans="1:5" ht="12.75" customHeight="1" x14ac:dyDescent="0.2">
      <c r="A574" s="53"/>
      <c r="C574" s="53"/>
      <c r="D574" s="53"/>
      <c r="E574" s="53"/>
    </row>
    <row r="575" spans="1:5" ht="12.75" customHeight="1" x14ac:dyDescent="0.2">
      <c r="A575" s="53"/>
      <c r="C575" s="53"/>
      <c r="D575" s="53"/>
      <c r="E575" s="53"/>
    </row>
    <row r="576" spans="1:5" ht="12.75" customHeight="1" x14ac:dyDescent="0.2">
      <c r="A576" s="53"/>
      <c r="C576" s="53"/>
      <c r="D576" s="53"/>
      <c r="E576" s="53"/>
    </row>
    <row r="577" spans="1:5" ht="12.75" customHeight="1" x14ac:dyDescent="0.2">
      <c r="A577" s="53"/>
      <c r="C577" s="53"/>
      <c r="D577" s="53"/>
      <c r="E577" s="53"/>
    </row>
    <row r="578" spans="1:5" ht="12.75" customHeight="1" x14ac:dyDescent="0.2">
      <c r="A578" s="53"/>
      <c r="C578" s="53"/>
      <c r="D578" s="53"/>
      <c r="E578" s="53"/>
    </row>
    <row r="579" spans="1:5" ht="12.75" customHeight="1" x14ac:dyDescent="0.2">
      <c r="A579" s="53"/>
      <c r="C579" s="53"/>
      <c r="D579" s="53"/>
      <c r="E579" s="53"/>
    </row>
    <row r="580" spans="1:5" ht="12.75" customHeight="1" x14ac:dyDescent="0.2">
      <c r="A580" s="53"/>
      <c r="C580" s="53"/>
      <c r="D580" s="53"/>
      <c r="E580" s="53"/>
    </row>
    <row r="581" spans="1:5" ht="12.75" customHeight="1" x14ac:dyDescent="0.2">
      <c r="A581" s="53"/>
      <c r="C581" s="53"/>
      <c r="D581" s="53"/>
      <c r="E581" s="53"/>
    </row>
    <row r="582" spans="1:5" ht="12.75" customHeight="1" x14ac:dyDescent="0.2">
      <c r="A582" s="53"/>
      <c r="C582" s="53"/>
      <c r="D582" s="53"/>
      <c r="E582" s="53"/>
    </row>
    <row r="583" spans="1:5" ht="12.75" customHeight="1" x14ac:dyDescent="0.2">
      <c r="A583" s="53"/>
      <c r="C583" s="53"/>
      <c r="D583" s="53"/>
      <c r="E583" s="53"/>
    </row>
    <row r="584" spans="1:5" ht="12.75" customHeight="1" x14ac:dyDescent="0.2">
      <c r="A584" s="53"/>
      <c r="C584" s="53"/>
      <c r="D584" s="53"/>
      <c r="E584" s="53"/>
    </row>
    <row r="585" spans="1:5" ht="12.75" customHeight="1" x14ac:dyDescent="0.2">
      <c r="A585" s="53"/>
      <c r="C585" s="53"/>
      <c r="D585" s="53"/>
      <c r="E585" s="53"/>
    </row>
    <row r="586" spans="1:5" ht="12.75" customHeight="1" x14ac:dyDescent="0.2">
      <c r="A586" s="53"/>
      <c r="C586" s="53"/>
      <c r="D586" s="53"/>
      <c r="E586" s="53"/>
    </row>
    <row r="587" spans="1:5" ht="12.75" customHeight="1" x14ac:dyDescent="0.2">
      <c r="A587" s="53"/>
      <c r="C587" s="53"/>
      <c r="D587" s="53"/>
      <c r="E587" s="53"/>
    </row>
    <row r="588" spans="1:5" ht="12.75" customHeight="1" x14ac:dyDescent="0.2">
      <c r="A588" s="53"/>
      <c r="C588" s="53"/>
      <c r="D588" s="53"/>
      <c r="E588" s="53"/>
    </row>
    <row r="589" spans="1:5" ht="12.75" customHeight="1" x14ac:dyDescent="0.2">
      <c r="A589" s="53"/>
      <c r="C589" s="53"/>
      <c r="D589" s="53"/>
      <c r="E589" s="53"/>
    </row>
    <row r="590" spans="1:5" ht="12.75" customHeight="1" x14ac:dyDescent="0.2">
      <c r="A590" s="53"/>
      <c r="C590" s="53"/>
      <c r="D590" s="53"/>
      <c r="E590" s="53"/>
    </row>
    <row r="591" spans="1:5" ht="12.75" customHeight="1" x14ac:dyDescent="0.2">
      <c r="A591" s="53"/>
      <c r="C591" s="53"/>
      <c r="D591" s="53"/>
      <c r="E591" s="53"/>
    </row>
    <row r="592" spans="1:5" ht="12.75" customHeight="1" x14ac:dyDescent="0.2">
      <c r="A592" s="53"/>
      <c r="C592" s="53"/>
      <c r="D592" s="53"/>
      <c r="E592" s="53"/>
    </row>
    <row r="593" spans="1:5" ht="12.75" customHeight="1" x14ac:dyDescent="0.2">
      <c r="A593" s="53"/>
      <c r="C593" s="53"/>
      <c r="D593" s="53"/>
      <c r="E593" s="53"/>
    </row>
    <row r="594" spans="1:5" ht="12.75" customHeight="1" x14ac:dyDescent="0.2">
      <c r="A594" s="53"/>
      <c r="C594" s="53"/>
      <c r="D594" s="53"/>
      <c r="E594" s="53"/>
    </row>
    <row r="595" spans="1:5" ht="12.75" customHeight="1" x14ac:dyDescent="0.2">
      <c r="A595" s="53"/>
      <c r="C595" s="53"/>
      <c r="D595" s="53"/>
      <c r="E595" s="53"/>
    </row>
    <row r="596" spans="1:5" ht="12.75" customHeight="1" x14ac:dyDescent="0.2">
      <c r="A596" s="53"/>
      <c r="C596" s="53"/>
      <c r="D596" s="53"/>
      <c r="E596" s="53"/>
    </row>
    <row r="597" spans="1:5" ht="12.75" customHeight="1" x14ac:dyDescent="0.2">
      <c r="A597" s="53"/>
      <c r="C597" s="53"/>
      <c r="D597" s="53"/>
      <c r="E597" s="53"/>
    </row>
    <row r="598" spans="1:5" ht="12.75" customHeight="1" x14ac:dyDescent="0.2">
      <c r="A598" s="53"/>
      <c r="C598" s="53"/>
      <c r="D598" s="53"/>
      <c r="E598" s="53"/>
    </row>
    <row r="599" spans="1:5" ht="12.75" customHeight="1" x14ac:dyDescent="0.2">
      <c r="A599" s="53"/>
      <c r="C599" s="53"/>
      <c r="D599" s="53"/>
      <c r="E599" s="53"/>
    </row>
    <row r="600" spans="1:5" ht="12.75" customHeight="1" x14ac:dyDescent="0.2">
      <c r="A600" s="53"/>
      <c r="C600" s="53"/>
      <c r="D600" s="53"/>
      <c r="E600" s="53"/>
    </row>
    <row r="601" spans="1:5" ht="12.75" customHeight="1" x14ac:dyDescent="0.2">
      <c r="A601" s="53"/>
      <c r="C601" s="53"/>
      <c r="D601" s="53"/>
      <c r="E601" s="53"/>
    </row>
    <row r="602" spans="1:5" ht="12.75" customHeight="1" x14ac:dyDescent="0.2">
      <c r="A602" s="53"/>
      <c r="C602" s="53"/>
      <c r="D602" s="53"/>
      <c r="E602" s="53"/>
    </row>
    <row r="603" spans="1:5" ht="12.75" customHeight="1" x14ac:dyDescent="0.2">
      <c r="A603" s="53"/>
      <c r="C603" s="53"/>
      <c r="D603" s="53"/>
      <c r="E603" s="53"/>
    </row>
    <row r="604" spans="1:5" ht="12.75" customHeight="1" x14ac:dyDescent="0.2">
      <c r="A604" s="53"/>
      <c r="C604" s="53"/>
      <c r="D604" s="53"/>
      <c r="E604" s="53"/>
    </row>
    <row r="605" spans="1:5" ht="12.75" customHeight="1" x14ac:dyDescent="0.2">
      <c r="A605" s="53"/>
      <c r="C605" s="53"/>
      <c r="D605" s="53"/>
      <c r="E605" s="53"/>
    </row>
    <row r="606" spans="1:5" ht="12.75" customHeight="1" x14ac:dyDescent="0.2">
      <c r="A606" s="53"/>
      <c r="C606" s="53"/>
      <c r="D606" s="53"/>
      <c r="E606" s="53"/>
    </row>
    <row r="607" spans="1:5" ht="12.75" customHeight="1" x14ac:dyDescent="0.2">
      <c r="A607" s="53"/>
      <c r="C607" s="53"/>
      <c r="D607" s="53"/>
      <c r="E607" s="53"/>
    </row>
    <row r="608" spans="1:5" ht="12.75" customHeight="1" x14ac:dyDescent="0.2">
      <c r="A608" s="53"/>
      <c r="C608" s="53"/>
      <c r="D608" s="53"/>
      <c r="E608" s="53"/>
    </row>
    <row r="609" spans="1:5" ht="12.75" customHeight="1" x14ac:dyDescent="0.2">
      <c r="A609" s="53"/>
      <c r="C609" s="53"/>
      <c r="D609" s="53"/>
      <c r="E609" s="53"/>
    </row>
    <row r="610" spans="1:5" ht="12.75" customHeight="1" x14ac:dyDescent="0.2">
      <c r="A610" s="53"/>
      <c r="C610" s="53"/>
      <c r="D610" s="53"/>
      <c r="E610" s="53"/>
    </row>
    <row r="611" spans="1:5" ht="12.75" customHeight="1" x14ac:dyDescent="0.2">
      <c r="A611" s="53"/>
      <c r="C611" s="53"/>
      <c r="D611" s="53"/>
      <c r="E611" s="53"/>
    </row>
    <row r="612" spans="1:5" ht="12.75" customHeight="1" x14ac:dyDescent="0.2">
      <c r="A612" s="53"/>
      <c r="C612" s="53"/>
      <c r="D612" s="53"/>
      <c r="E612" s="53"/>
    </row>
    <row r="613" spans="1:5" ht="12.75" customHeight="1" x14ac:dyDescent="0.2">
      <c r="A613" s="53"/>
      <c r="C613" s="53"/>
      <c r="D613" s="53"/>
      <c r="E613" s="53"/>
    </row>
    <row r="614" spans="1:5" ht="12.75" customHeight="1" x14ac:dyDescent="0.2">
      <c r="A614" s="53"/>
      <c r="C614" s="53"/>
      <c r="D614" s="53"/>
      <c r="E614" s="53"/>
    </row>
    <row r="615" spans="1:5" ht="12.75" customHeight="1" x14ac:dyDescent="0.2">
      <c r="A615" s="53"/>
      <c r="C615" s="53"/>
      <c r="D615" s="53"/>
      <c r="E615" s="53"/>
    </row>
    <row r="616" spans="1:5" ht="12.75" customHeight="1" x14ac:dyDescent="0.2">
      <c r="A616" s="53"/>
      <c r="C616" s="53"/>
      <c r="D616" s="53"/>
      <c r="E616" s="53"/>
    </row>
    <row r="617" spans="1:5" ht="12.75" customHeight="1" x14ac:dyDescent="0.2">
      <c r="A617" s="53"/>
      <c r="C617" s="53"/>
      <c r="D617" s="53"/>
      <c r="E617" s="53"/>
    </row>
    <row r="618" spans="1:5" ht="12.75" customHeight="1" x14ac:dyDescent="0.2">
      <c r="A618" s="53"/>
      <c r="C618" s="53"/>
      <c r="D618" s="53"/>
      <c r="E618" s="53"/>
    </row>
    <row r="619" spans="1:5" ht="12.75" customHeight="1" x14ac:dyDescent="0.2">
      <c r="A619" s="53"/>
      <c r="C619" s="53"/>
      <c r="D619" s="53"/>
      <c r="E619" s="53"/>
    </row>
    <row r="620" spans="1:5" ht="12.75" customHeight="1" x14ac:dyDescent="0.2">
      <c r="A620" s="53"/>
      <c r="C620" s="53"/>
      <c r="D620" s="53"/>
      <c r="E620" s="53"/>
    </row>
    <row r="621" spans="1:5" ht="12.75" customHeight="1" x14ac:dyDescent="0.2">
      <c r="A621" s="53"/>
      <c r="C621" s="53"/>
      <c r="D621" s="53"/>
      <c r="E621" s="53"/>
    </row>
    <row r="622" spans="1:5" ht="12.75" customHeight="1" x14ac:dyDescent="0.2">
      <c r="A622" s="53"/>
      <c r="C622" s="53"/>
      <c r="D622" s="53"/>
      <c r="E622" s="53"/>
    </row>
    <row r="623" spans="1:5" ht="12.75" customHeight="1" x14ac:dyDescent="0.2">
      <c r="A623" s="53"/>
      <c r="C623" s="53"/>
      <c r="D623" s="53"/>
      <c r="E623" s="53"/>
    </row>
    <row r="624" spans="1:5" ht="12.75" customHeight="1" x14ac:dyDescent="0.2">
      <c r="A624" s="53"/>
      <c r="C624" s="53"/>
      <c r="D624" s="53"/>
      <c r="E624" s="53"/>
    </row>
    <row r="625" spans="1:5" ht="12.75" customHeight="1" x14ac:dyDescent="0.2">
      <c r="A625" s="53"/>
      <c r="C625" s="53"/>
      <c r="D625" s="53"/>
      <c r="E625" s="53"/>
    </row>
    <row r="626" spans="1:5" ht="12.75" customHeight="1" x14ac:dyDescent="0.2">
      <c r="A626" s="53"/>
      <c r="C626" s="53"/>
      <c r="D626" s="53"/>
      <c r="E626" s="53"/>
    </row>
    <row r="627" spans="1:5" ht="12.75" customHeight="1" x14ac:dyDescent="0.2">
      <c r="A627" s="53"/>
      <c r="C627" s="53"/>
      <c r="D627" s="53"/>
      <c r="E627" s="53"/>
    </row>
    <row r="628" spans="1:5" ht="12.75" customHeight="1" x14ac:dyDescent="0.2">
      <c r="A628" s="53"/>
      <c r="C628" s="53"/>
      <c r="D628" s="53"/>
      <c r="E628" s="53"/>
    </row>
    <row r="629" spans="1:5" ht="12.75" customHeight="1" x14ac:dyDescent="0.2">
      <c r="A629" s="53"/>
      <c r="C629" s="53"/>
      <c r="D629" s="53"/>
      <c r="E629" s="53"/>
    </row>
    <row r="630" spans="1:5" ht="12.75" customHeight="1" x14ac:dyDescent="0.2">
      <c r="A630" s="53"/>
      <c r="C630" s="53"/>
      <c r="D630" s="53"/>
      <c r="E630" s="53"/>
    </row>
    <row r="631" spans="1:5" ht="12.75" customHeight="1" x14ac:dyDescent="0.2">
      <c r="A631" s="53"/>
      <c r="C631" s="53"/>
      <c r="D631" s="53"/>
      <c r="E631" s="53"/>
    </row>
    <row r="632" spans="1:5" ht="12.75" customHeight="1" x14ac:dyDescent="0.2">
      <c r="A632" s="53"/>
      <c r="C632" s="53"/>
      <c r="D632" s="53"/>
      <c r="E632" s="53"/>
    </row>
    <row r="633" spans="1:5" ht="12.75" customHeight="1" x14ac:dyDescent="0.2">
      <c r="A633" s="53"/>
      <c r="C633" s="53"/>
      <c r="D633" s="53"/>
      <c r="E633" s="53"/>
    </row>
    <row r="634" spans="1:5" ht="12.75" customHeight="1" x14ac:dyDescent="0.2">
      <c r="A634" s="53"/>
      <c r="C634" s="53"/>
      <c r="D634" s="53"/>
      <c r="E634" s="53"/>
    </row>
    <row r="635" spans="1:5" ht="12.75" customHeight="1" x14ac:dyDescent="0.2">
      <c r="A635" s="53"/>
      <c r="C635" s="53"/>
      <c r="D635" s="53"/>
      <c r="E635" s="53"/>
    </row>
    <row r="636" spans="1:5" ht="12.75" customHeight="1" x14ac:dyDescent="0.2">
      <c r="A636" s="53"/>
      <c r="C636" s="53"/>
      <c r="D636" s="53"/>
      <c r="E636" s="53"/>
    </row>
    <row r="637" spans="1:5" ht="12.75" customHeight="1" x14ac:dyDescent="0.2">
      <c r="A637" s="53"/>
      <c r="C637" s="53"/>
      <c r="D637" s="53"/>
      <c r="E637" s="53"/>
    </row>
    <row r="638" spans="1:5" ht="12.75" customHeight="1" x14ac:dyDescent="0.2">
      <c r="A638" s="53"/>
      <c r="C638" s="53"/>
      <c r="D638" s="53"/>
      <c r="E638" s="53"/>
    </row>
    <row r="639" spans="1:5" ht="12.75" customHeight="1" x14ac:dyDescent="0.2">
      <c r="A639" s="53"/>
      <c r="C639" s="53"/>
      <c r="D639" s="53"/>
      <c r="E639" s="53"/>
    </row>
    <row r="640" spans="1:5" ht="12.75" customHeight="1" x14ac:dyDescent="0.2">
      <c r="A640" s="53"/>
      <c r="C640" s="53"/>
      <c r="D640" s="53"/>
      <c r="E640" s="53"/>
    </row>
    <row r="641" spans="1:5" ht="12.75" customHeight="1" x14ac:dyDescent="0.2">
      <c r="A641" s="53"/>
      <c r="C641" s="53"/>
      <c r="D641" s="53"/>
      <c r="E641" s="53"/>
    </row>
    <row r="642" spans="1:5" ht="12.75" customHeight="1" x14ac:dyDescent="0.2">
      <c r="A642" s="53"/>
      <c r="C642" s="53"/>
      <c r="D642" s="53"/>
      <c r="E642" s="53"/>
    </row>
    <row r="643" spans="1:5" ht="12.75" customHeight="1" x14ac:dyDescent="0.2">
      <c r="A643" s="53"/>
      <c r="C643" s="53"/>
      <c r="D643" s="53"/>
      <c r="E643" s="53"/>
    </row>
    <row r="644" spans="1:5" ht="12.75" customHeight="1" x14ac:dyDescent="0.2">
      <c r="A644" s="53"/>
      <c r="C644" s="53"/>
      <c r="D644" s="53"/>
      <c r="E644" s="53"/>
    </row>
    <row r="645" spans="1:5" ht="12.75" customHeight="1" x14ac:dyDescent="0.2">
      <c r="A645" s="53"/>
      <c r="C645" s="53"/>
      <c r="D645" s="53"/>
      <c r="E645" s="53"/>
    </row>
    <row r="646" spans="1:5" ht="12.75" customHeight="1" x14ac:dyDescent="0.2">
      <c r="A646" s="53"/>
      <c r="C646" s="53"/>
      <c r="D646" s="53"/>
      <c r="E646" s="53"/>
    </row>
    <row r="647" spans="1:5" ht="12.75" customHeight="1" x14ac:dyDescent="0.2">
      <c r="A647" s="53"/>
      <c r="C647" s="53"/>
      <c r="D647" s="53"/>
      <c r="E647" s="53"/>
    </row>
    <row r="648" spans="1:5" ht="12.75" customHeight="1" x14ac:dyDescent="0.2">
      <c r="A648" s="53"/>
      <c r="C648" s="53"/>
      <c r="D648" s="53"/>
      <c r="E648" s="53"/>
    </row>
    <row r="649" spans="1:5" ht="12.75" customHeight="1" x14ac:dyDescent="0.2">
      <c r="A649" s="53"/>
      <c r="C649" s="53"/>
      <c r="D649" s="53"/>
      <c r="E649" s="53"/>
    </row>
    <row r="650" spans="1:5" ht="12.75" customHeight="1" x14ac:dyDescent="0.2">
      <c r="A650" s="53"/>
      <c r="C650" s="53"/>
      <c r="D650" s="53"/>
      <c r="E650" s="53"/>
    </row>
    <row r="651" spans="1:5" ht="12.75" customHeight="1" x14ac:dyDescent="0.2">
      <c r="A651" s="53"/>
      <c r="C651" s="53"/>
      <c r="D651" s="53"/>
      <c r="E651" s="53"/>
    </row>
    <row r="652" spans="1:5" ht="12.75" customHeight="1" x14ac:dyDescent="0.2">
      <c r="A652" s="53"/>
      <c r="C652" s="53"/>
      <c r="D652" s="53"/>
      <c r="E652" s="53"/>
    </row>
    <row r="653" spans="1:5" ht="12.75" customHeight="1" x14ac:dyDescent="0.2">
      <c r="A653" s="53"/>
      <c r="C653" s="53"/>
      <c r="D653" s="53"/>
      <c r="E653" s="53"/>
    </row>
    <row r="654" spans="1:5" ht="12.75" customHeight="1" x14ac:dyDescent="0.2">
      <c r="A654" s="53"/>
      <c r="C654" s="53"/>
      <c r="D654" s="53"/>
      <c r="E654" s="53"/>
    </row>
    <row r="655" spans="1:5" ht="12.75" customHeight="1" x14ac:dyDescent="0.2">
      <c r="A655" s="53"/>
      <c r="C655" s="53"/>
      <c r="D655" s="53"/>
      <c r="E655" s="53"/>
    </row>
    <row r="656" spans="1:5" ht="12.75" customHeight="1" x14ac:dyDescent="0.2">
      <c r="A656" s="53"/>
      <c r="C656" s="53"/>
      <c r="D656" s="53"/>
      <c r="E656" s="53"/>
    </row>
    <row r="657" spans="1:5" ht="12.75" customHeight="1" x14ac:dyDescent="0.2">
      <c r="A657" s="53"/>
      <c r="C657" s="53"/>
      <c r="D657" s="53"/>
      <c r="E657" s="53"/>
    </row>
    <row r="658" spans="1:5" ht="12.75" customHeight="1" x14ac:dyDescent="0.2">
      <c r="A658" s="53"/>
      <c r="C658" s="53"/>
      <c r="D658" s="53"/>
      <c r="E658" s="53"/>
    </row>
    <row r="659" spans="1:5" ht="12.75" customHeight="1" x14ac:dyDescent="0.2">
      <c r="A659" s="53"/>
      <c r="C659" s="53"/>
      <c r="D659" s="53"/>
      <c r="E659" s="53"/>
    </row>
    <row r="660" spans="1:5" ht="12.75" customHeight="1" x14ac:dyDescent="0.2">
      <c r="A660" s="53"/>
      <c r="C660" s="53"/>
      <c r="D660" s="53"/>
      <c r="E660" s="53"/>
    </row>
    <row r="661" spans="1:5" ht="12.75" customHeight="1" x14ac:dyDescent="0.2">
      <c r="A661" s="53"/>
      <c r="C661" s="53"/>
      <c r="D661" s="53"/>
      <c r="E661" s="53"/>
    </row>
    <row r="662" spans="1:5" ht="12.75" customHeight="1" x14ac:dyDescent="0.2">
      <c r="A662" s="53"/>
      <c r="C662" s="53"/>
      <c r="D662" s="53"/>
      <c r="E662" s="53"/>
    </row>
    <row r="663" spans="1:5" ht="12.75" customHeight="1" x14ac:dyDescent="0.2">
      <c r="A663" s="53"/>
      <c r="C663" s="53"/>
      <c r="D663" s="53"/>
      <c r="E663" s="53"/>
    </row>
    <row r="664" spans="1:5" ht="12.75" customHeight="1" x14ac:dyDescent="0.2">
      <c r="A664" s="53"/>
      <c r="C664" s="53"/>
      <c r="D664" s="53"/>
      <c r="E664" s="53"/>
    </row>
    <row r="665" spans="1:5" ht="12.75" customHeight="1" x14ac:dyDescent="0.2">
      <c r="A665" s="53"/>
      <c r="C665" s="53"/>
      <c r="D665" s="53"/>
      <c r="E665" s="53"/>
    </row>
    <row r="666" spans="1:5" ht="12.75" customHeight="1" x14ac:dyDescent="0.2">
      <c r="A666" s="53"/>
      <c r="C666" s="53"/>
      <c r="D666" s="53"/>
      <c r="E666" s="53"/>
    </row>
    <row r="667" spans="1:5" ht="12.75" customHeight="1" x14ac:dyDescent="0.2">
      <c r="A667" s="53"/>
      <c r="C667" s="53"/>
      <c r="D667" s="53"/>
      <c r="E667" s="53"/>
    </row>
    <row r="668" spans="1:5" ht="12.75" customHeight="1" x14ac:dyDescent="0.2">
      <c r="A668" s="53"/>
      <c r="C668" s="53"/>
      <c r="D668" s="53"/>
      <c r="E668" s="53"/>
    </row>
    <row r="669" spans="1:5" ht="12.75" customHeight="1" x14ac:dyDescent="0.2">
      <c r="A669" s="53"/>
      <c r="C669" s="53"/>
      <c r="D669" s="53"/>
      <c r="E669" s="53"/>
    </row>
    <row r="670" spans="1:5" ht="12.75" customHeight="1" x14ac:dyDescent="0.2">
      <c r="A670" s="53"/>
      <c r="C670" s="53"/>
      <c r="D670" s="53"/>
      <c r="E670" s="53"/>
    </row>
    <row r="671" spans="1:5" ht="12.75" customHeight="1" x14ac:dyDescent="0.2">
      <c r="A671" s="53"/>
      <c r="C671" s="53"/>
      <c r="D671" s="53"/>
      <c r="E671" s="53"/>
    </row>
    <row r="672" spans="1:5" ht="12.75" customHeight="1" x14ac:dyDescent="0.2">
      <c r="A672" s="53"/>
      <c r="C672" s="53"/>
      <c r="D672" s="53"/>
      <c r="E672" s="53"/>
    </row>
    <row r="673" spans="1:5" ht="12.75" customHeight="1" x14ac:dyDescent="0.2">
      <c r="A673" s="53"/>
      <c r="C673" s="53"/>
      <c r="D673" s="53"/>
      <c r="E673" s="53"/>
    </row>
    <row r="674" spans="1:5" ht="12.75" customHeight="1" x14ac:dyDescent="0.2">
      <c r="A674" s="53"/>
      <c r="C674" s="53"/>
      <c r="D674" s="53"/>
      <c r="E674" s="53"/>
    </row>
    <row r="675" spans="1:5" ht="12.75" customHeight="1" x14ac:dyDescent="0.2">
      <c r="A675" s="53"/>
      <c r="C675" s="53"/>
      <c r="D675" s="53"/>
      <c r="E675" s="53"/>
    </row>
    <row r="676" spans="1:5" ht="12.75" customHeight="1" x14ac:dyDescent="0.2">
      <c r="A676" s="53"/>
      <c r="C676" s="53"/>
      <c r="D676" s="53"/>
      <c r="E676" s="53"/>
    </row>
    <row r="677" spans="1:5" ht="12.75" customHeight="1" x14ac:dyDescent="0.2">
      <c r="A677" s="53"/>
      <c r="C677" s="53"/>
      <c r="D677" s="53"/>
      <c r="E677" s="53"/>
    </row>
    <row r="678" spans="1:5" ht="12.75" customHeight="1" x14ac:dyDescent="0.2">
      <c r="A678" s="53"/>
      <c r="C678" s="53"/>
      <c r="D678" s="53"/>
      <c r="E678" s="53"/>
    </row>
    <row r="679" spans="1:5" ht="12.75" customHeight="1" x14ac:dyDescent="0.2">
      <c r="A679" s="53"/>
      <c r="C679" s="53"/>
      <c r="D679" s="53"/>
      <c r="E679" s="53"/>
    </row>
    <row r="680" spans="1:5" ht="12.75" customHeight="1" x14ac:dyDescent="0.2">
      <c r="A680" s="53"/>
      <c r="C680" s="53"/>
      <c r="D680" s="53"/>
      <c r="E680" s="53"/>
    </row>
    <row r="681" spans="1:5" ht="12.75" customHeight="1" x14ac:dyDescent="0.2">
      <c r="A681" s="53"/>
      <c r="C681" s="53"/>
      <c r="D681" s="53"/>
      <c r="E681" s="53"/>
    </row>
    <row r="682" spans="1:5" ht="12.75" customHeight="1" x14ac:dyDescent="0.2">
      <c r="A682" s="53"/>
      <c r="C682" s="53"/>
      <c r="D682" s="53"/>
      <c r="E682" s="53"/>
    </row>
    <row r="683" spans="1:5" ht="12.75" customHeight="1" x14ac:dyDescent="0.2">
      <c r="A683" s="53"/>
      <c r="C683" s="53"/>
      <c r="D683" s="53"/>
      <c r="E683" s="53"/>
    </row>
    <row r="684" spans="1:5" ht="12.75" customHeight="1" x14ac:dyDescent="0.2">
      <c r="A684" s="53"/>
      <c r="C684" s="53"/>
      <c r="D684" s="53"/>
      <c r="E684" s="53"/>
    </row>
    <row r="685" spans="1:5" ht="12.75" customHeight="1" x14ac:dyDescent="0.2">
      <c r="A685" s="53"/>
      <c r="C685" s="53"/>
      <c r="D685" s="53"/>
      <c r="E685" s="53"/>
    </row>
    <row r="686" spans="1:5" ht="12.75" customHeight="1" x14ac:dyDescent="0.2">
      <c r="A686" s="53"/>
      <c r="C686" s="53"/>
      <c r="D686" s="53"/>
      <c r="E686" s="53"/>
    </row>
    <row r="687" spans="1:5" ht="12.75" customHeight="1" x14ac:dyDescent="0.2">
      <c r="A687" s="53"/>
      <c r="C687" s="53"/>
      <c r="D687" s="53"/>
      <c r="E687" s="53"/>
    </row>
    <row r="688" spans="1:5" ht="12.75" customHeight="1" x14ac:dyDescent="0.2">
      <c r="A688" s="53"/>
      <c r="C688" s="53"/>
      <c r="D688" s="53"/>
      <c r="E688" s="53"/>
    </row>
    <row r="689" spans="1:5" ht="12.75" customHeight="1" x14ac:dyDescent="0.2">
      <c r="A689" s="53"/>
      <c r="C689" s="53"/>
      <c r="D689" s="53"/>
      <c r="E689" s="53"/>
    </row>
    <row r="690" spans="1:5" ht="12.75" customHeight="1" x14ac:dyDescent="0.2">
      <c r="A690" s="53"/>
      <c r="C690" s="53"/>
      <c r="D690" s="53"/>
      <c r="E690" s="53"/>
    </row>
    <row r="691" spans="1:5" ht="12.75" customHeight="1" x14ac:dyDescent="0.2">
      <c r="A691" s="53"/>
      <c r="C691" s="53"/>
      <c r="D691" s="53"/>
      <c r="E691" s="53"/>
    </row>
    <row r="692" spans="1:5" ht="12.75" customHeight="1" x14ac:dyDescent="0.2">
      <c r="A692" s="53"/>
      <c r="C692" s="53"/>
      <c r="D692" s="53"/>
      <c r="E692" s="53"/>
    </row>
    <row r="693" spans="1:5" ht="12.75" customHeight="1" x14ac:dyDescent="0.2">
      <c r="A693" s="53"/>
      <c r="C693" s="53"/>
      <c r="D693" s="53"/>
      <c r="E693" s="53"/>
    </row>
    <row r="694" spans="1:5" ht="12.75" customHeight="1" x14ac:dyDescent="0.2">
      <c r="A694" s="53"/>
      <c r="C694" s="53"/>
      <c r="D694" s="53"/>
      <c r="E694" s="53"/>
    </row>
    <row r="695" spans="1:5" ht="12.75" customHeight="1" x14ac:dyDescent="0.2">
      <c r="A695" s="53"/>
      <c r="C695" s="53"/>
      <c r="D695" s="53"/>
      <c r="E695" s="53"/>
    </row>
    <row r="696" spans="1:5" ht="12.75" customHeight="1" x14ac:dyDescent="0.2">
      <c r="A696" s="53"/>
      <c r="C696" s="53"/>
      <c r="D696" s="53"/>
      <c r="E696" s="53"/>
    </row>
    <row r="697" spans="1:5" ht="12.75" customHeight="1" x14ac:dyDescent="0.2">
      <c r="A697" s="53"/>
      <c r="C697" s="53"/>
      <c r="D697" s="53"/>
      <c r="E697" s="53"/>
    </row>
    <row r="698" spans="1:5" ht="12.75" customHeight="1" x14ac:dyDescent="0.2">
      <c r="A698" s="53"/>
      <c r="C698" s="53"/>
      <c r="D698" s="53"/>
      <c r="E698" s="53"/>
    </row>
    <row r="699" spans="1:5" ht="12.75" customHeight="1" x14ac:dyDescent="0.2">
      <c r="A699" s="53"/>
      <c r="C699" s="53"/>
      <c r="D699" s="53"/>
      <c r="E699" s="53"/>
    </row>
    <row r="700" spans="1:5" ht="12.75" customHeight="1" x14ac:dyDescent="0.2">
      <c r="A700" s="53"/>
      <c r="C700" s="53"/>
      <c r="D700" s="53"/>
      <c r="E700" s="53"/>
    </row>
    <row r="701" spans="1:5" ht="12.75" customHeight="1" x14ac:dyDescent="0.2">
      <c r="A701" s="53"/>
      <c r="C701" s="53"/>
      <c r="D701" s="53"/>
      <c r="E701" s="53"/>
    </row>
    <row r="702" spans="1:5" ht="12.75" customHeight="1" x14ac:dyDescent="0.2">
      <c r="A702" s="53"/>
      <c r="C702" s="53"/>
      <c r="D702" s="53"/>
      <c r="E702" s="53"/>
    </row>
    <row r="703" spans="1:5" ht="12.75" customHeight="1" x14ac:dyDescent="0.2">
      <c r="A703" s="53"/>
      <c r="C703" s="53"/>
      <c r="D703" s="53"/>
      <c r="E703" s="53"/>
    </row>
    <row r="704" spans="1:5" ht="12.75" customHeight="1" x14ac:dyDescent="0.2">
      <c r="A704" s="53"/>
      <c r="C704" s="53"/>
      <c r="D704" s="53"/>
      <c r="E704" s="53"/>
    </row>
    <row r="705" spans="1:5" ht="12.75" customHeight="1" x14ac:dyDescent="0.2">
      <c r="A705" s="53"/>
      <c r="C705" s="53"/>
      <c r="D705" s="53"/>
      <c r="E705" s="53"/>
    </row>
    <row r="706" spans="1:5" ht="12.75" customHeight="1" x14ac:dyDescent="0.2">
      <c r="A706" s="53"/>
      <c r="C706" s="53"/>
      <c r="D706" s="53"/>
      <c r="E706" s="53"/>
    </row>
    <row r="707" spans="1:5" ht="12.75" customHeight="1" x14ac:dyDescent="0.2">
      <c r="A707" s="53"/>
      <c r="C707" s="53"/>
      <c r="D707" s="53"/>
      <c r="E707" s="53"/>
    </row>
    <row r="708" spans="1:5" ht="12.75" customHeight="1" x14ac:dyDescent="0.2">
      <c r="A708" s="53"/>
      <c r="C708" s="53"/>
      <c r="D708" s="53"/>
      <c r="E708" s="53"/>
    </row>
    <row r="709" spans="1:5" ht="12.75" customHeight="1" x14ac:dyDescent="0.2">
      <c r="A709" s="53"/>
      <c r="C709" s="53"/>
      <c r="D709" s="53"/>
      <c r="E709" s="53"/>
    </row>
    <row r="710" spans="1:5" ht="12.75" customHeight="1" x14ac:dyDescent="0.2">
      <c r="A710" s="53"/>
      <c r="C710" s="53"/>
      <c r="D710" s="53"/>
      <c r="E710" s="53"/>
    </row>
    <row r="711" spans="1:5" ht="12.75" customHeight="1" x14ac:dyDescent="0.2">
      <c r="A711" s="53"/>
      <c r="C711" s="53"/>
      <c r="D711" s="53"/>
      <c r="E711" s="53"/>
    </row>
    <row r="712" spans="1:5" ht="12.75" customHeight="1" x14ac:dyDescent="0.2">
      <c r="A712" s="53"/>
      <c r="C712" s="53"/>
      <c r="D712" s="53"/>
      <c r="E712" s="53"/>
    </row>
    <row r="713" spans="1:5" ht="12.75" customHeight="1" x14ac:dyDescent="0.2">
      <c r="A713" s="53"/>
      <c r="C713" s="53"/>
      <c r="D713" s="53"/>
      <c r="E713" s="53"/>
    </row>
    <row r="714" spans="1:5" ht="12.75" customHeight="1" x14ac:dyDescent="0.2">
      <c r="A714" s="53"/>
      <c r="C714" s="53"/>
      <c r="D714" s="53"/>
      <c r="E714" s="53"/>
    </row>
    <row r="715" spans="1:5" ht="12.75" customHeight="1" x14ac:dyDescent="0.2">
      <c r="A715" s="53"/>
      <c r="C715" s="53"/>
      <c r="D715" s="53"/>
      <c r="E715" s="53"/>
    </row>
    <row r="716" spans="1:5" ht="12.75" customHeight="1" x14ac:dyDescent="0.2">
      <c r="A716" s="53"/>
      <c r="C716" s="53"/>
      <c r="D716" s="53"/>
      <c r="E716" s="53"/>
    </row>
    <row r="717" spans="1:5" ht="12.75" customHeight="1" x14ac:dyDescent="0.2">
      <c r="A717" s="53"/>
      <c r="C717" s="53"/>
      <c r="D717" s="53"/>
      <c r="E717" s="53"/>
    </row>
    <row r="718" spans="1:5" ht="12.75" customHeight="1" x14ac:dyDescent="0.2">
      <c r="A718" s="53"/>
      <c r="C718" s="53"/>
      <c r="D718" s="53"/>
      <c r="E718" s="53"/>
    </row>
    <row r="719" spans="1:5" ht="12.75" customHeight="1" x14ac:dyDescent="0.2">
      <c r="A719" s="53"/>
      <c r="C719" s="53"/>
      <c r="D719" s="53"/>
      <c r="E719" s="53"/>
    </row>
    <row r="720" spans="1:5" ht="12.75" customHeight="1" x14ac:dyDescent="0.2">
      <c r="A720" s="53"/>
      <c r="C720" s="53"/>
      <c r="D720" s="53"/>
      <c r="E720" s="53"/>
    </row>
    <row r="721" spans="1:5" ht="12.75" customHeight="1" x14ac:dyDescent="0.2">
      <c r="A721" s="53"/>
      <c r="C721" s="53"/>
      <c r="D721" s="53"/>
      <c r="E721" s="53"/>
    </row>
    <row r="722" spans="1:5" ht="12.75" customHeight="1" x14ac:dyDescent="0.2">
      <c r="A722" s="53"/>
      <c r="C722" s="53"/>
      <c r="D722" s="53"/>
      <c r="E722" s="53"/>
    </row>
    <row r="723" spans="1:5" ht="12.75" customHeight="1" x14ac:dyDescent="0.2">
      <c r="A723" s="53"/>
      <c r="C723" s="53"/>
      <c r="D723" s="53"/>
      <c r="E723" s="53"/>
    </row>
    <row r="724" spans="1:5" ht="12.75" customHeight="1" x14ac:dyDescent="0.2">
      <c r="A724" s="53"/>
      <c r="C724" s="53"/>
      <c r="D724" s="53"/>
      <c r="E724" s="53"/>
    </row>
    <row r="725" spans="1:5" ht="12.75" customHeight="1" x14ac:dyDescent="0.2">
      <c r="A725" s="53"/>
      <c r="C725" s="53"/>
      <c r="D725" s="53"/>
      <c r="E725" s="53"/>
    </row>
    <row r="726" spans="1:5" ht="12.75" customHeight="1" x14ac:dyDescent="0.2">
      <c r="A726" s="53"/>
      <c r="C726" s="53"/>
      <c r="D726" s="53"/>
      <c r="E726" s="53"/>
    </row>
    <row r="727" spans="1:5" ht="12.75" customHeight="1" x14ac:dyDescent="0.2">
      <c r="A727" s="53"/>
      <c r="C727" s="53"/>
      <c r="D727" s="53"/>
      <c r="E727" s="53"/>
    </row>
    <row r="728" spans="1:5" ht="12.75" customHeight="1" x14ac:dyDescent="0.2">
      <c r="A728" s="53"/>
      <c r="C728" s="53"/>
      <c r="D728" s="53"/>
      <c r="E728" s="53"/>
    </row>
    <row r="729" spans="1:5" ht="12.75" customHeight="1" x14ac:dyDescent="0.2">
      <c r="A729" s="53"/>
      <c r="C729" s="53"/>
      <c r="D729" s="53"/>
      <c r="E729" s="53"/>
    </row>
    <row r="730" spans="1:5" ht="12.75" customHeight="1" x14ac:dyDescent="0.2">
      <c r="A730" s="53"/>
      <c r="C730" s="53"/>
      <c r="D730" s="53"/>
      <c r="E730" s="53"/>
    </row>
    <row r="731" spans="1:5" ht="12.75" customHeight="1" x14ac:dyDescent="0.2">
      <c r="A731" s="53"/>
      <c r="C731" s="53"/>
      <c r="D731" s="53"/>
      <c r="E731" s="53"/>
    </row>
    <row r="732" spans="1:5" ht="12.75" customHeight="1" x14ac:dyDescent="0.2">
      <c r="A732" s="53"/>
      <c r="C732" s="53"/>
      <c r="D732" s="53"/>
      <c r="E732" s="53"/>
    </row>
    <row r="733" spans="1:5" ht="12.75" customHeight="1" x14ac:dyDescent="0.2">
      <c r="A733" s="53"/>
      <c r="C733" s="53"/>
      <c r="D733" s="53"/>
      <c r="E733" s="53"/>
    </row>
    <row r="734" spans="1:5" ht="12.75" customHeight="1" x14ac:dyDescent="0.2">
      <c r="A734" s="53"/>
      <c r="C734" s="53"/>
      <c r="D734" s="53"/>
      <c r="E734" s="53"/>
    </row>
    <row r="735" spans="1:5" ht="12.75" customHeight="1" x14ac:dyDescent="0.2">
      <c r="A735" s="53"/>
      <c r="C735" s="53"/>
      <c r="D735" s="53"/>
      <c r="E735" s="53"/>
    </row>
    <row r="736" spans="1:5" ht="12.75" customHeight="1" x14ac:dyDescent="0.2">
      <c r="A736" s="53"/>
      <c r="C736" s="53"/>
      <c r="D736" s="53"/>
      <c r="E736" s="53"/>
    </row>
    <row r="737" spans="1:5" ht="12.75" customHeight="1" x14ac:dyDescent="0.2">
      <c r="A737" s="53"/>
      <c r="C737" s="53"/>
      <c r="D737" s="53"/>
      <c r="E737" s="53"/>
    </row>
    <row r="738" spans="1:5" ht="12.75" customHeight="1" x14ac:dyDescent="0.2">
      <c r="A738" s="53"/>
      <c r="C738" s="53"/>
      <c r="D738" s="53"/>
      <c r="E738" s="53"/>
    </row>
    <row r="739" spans="1:5" ht="12.75" customHeight="1" x14ac:dyDescent="0.2">
      <c r="A739" s="53"/>
      <c r="C739" s="53"/>
      <c r="D739" s="53"/>
      <c r="E739" s="53"/>
    </row>
    <row r="740" spans="1:5" ht="12.75" customHeight="1" x14ac:dyDescent="0.2">
      <c r="A740" s="53"/>
      <c r="C740" s="53"/>
      <c r="D740" s="53"/>
      <c r="E740" s="53"/>
    </row>
    <row r="741" spans="1:5" ht="12.75" customHeight="1" x14ac:dyDescent="0.2">
      <c r="A741" s="53"/>
      <c r="C741" s="53"/>
      <c r="D741" s="53"/>
      <c r="E741" s="53"/>
    </row>
    <row r="742" spans="1:5" ht="12.75" customHeight="1" x14ac:dyDescent="0.2">
      <c r="A742" s="53"/>
      <c r="C742" s="53"/>
      <c r="D742" s="53"/>
      <c r="E742" s="53"/>
    </row>
    <row r="743" spans="1:5" ht="12.75" customHeight="1" x14ac:dyDescent="0.2">
      <c r="A743" s="53"/>
      <c r="C743" s="53"/>
      <c r="D743" s="53"/>
      <c r="E743" s="53"/>
    </row>
    <row r="744" spans="1:5" ht="12.75" customHeight="1" x14ac:dyDescent="0.2">
      <c r="A744" s="53"/>
      <c r="C744" s="53"/>
      <c r="D744" s="53"/>
      <c r="E744" s="53"/>
    </row>
    <row r="745" spans="1:5" ht="12.75" customHeight="1" x14ac:dyDescent="0.2">
      <c r="A745" s="53"/>
      <c r="C745" s="53"/>
      <c r="D745" s="53"/>
      <c r="E745" s="53"/>
    </row>
    <row r="746" spans="1:5" ht="12.75" customHeight="1" x14ac:dyDescent="0.2">
      <c r="A746" s="53"/>
      <c r="C746" s="53"/>
      <c r="D746" s="53"/>
      <c r="E746" s="53"/>
    </row>
    <row r="747" spans="1:5" ht="12.75" customHeight="1" x14ac:dyDescent="0.2">
      <c r="A747" s="53"/>
      <c r="C747" s="53"/>
      <c r="D747" s="53"/>
      <c r="E747" s="53"/>
    </row>
    <row r="748" spans="1:5" ht="12.75" customHeight="1" x14ac:dyDescent="0.2">
      <c r="A748" s="53"/>
      <c r="C748" s="53"/>
      <c r="D748" s="53"/>
      <c r="E748" s="53"/>
    </row>
    <row r="749" spans="1:5" ht="12.75" customHeight="1" x14ac:dyDescent="0.2">
      <c r="A749" s="53"/>
      <c r="C749" s="53"/>
      <c r="D749" s="53"/>
      <c r="E749" s="53"/>
    </row>
    <row r="750" spans="1:5" ht="12.75" customHeight="1" x14ac:dyDescent="0.2">
      <c r="A750" s="53"/>
      <c r="C750" s="53"/>
      <c r="D750" s="53"/>
      <c r="E750" s="53"/>
    </row>
    <row r="751" spans="1:5" ht="12.75" customHeight="1" x14ac:dyDescent="0.2">
      <c r="A751" s="53"/>
      <c r="C751" s="53"/>
      <c r="D751" s="53"/>
      <c r="E751" s="53"/>
    </row>
    <row r="752" spans="1:5" ht="12.75" customHeight="1" x14ac:dyDescent="0.2">
      <c r="A752" s="53"/>
      <c r="C752" s="53"/>
      <c r="D752" s="53"/>
      <c r="E752" s="53"/>
    </row>
    <row r="753" spans="1:5" ht="12.75" customHeight="1" x14ac:dyDescent="0.2">
      <c r="A753" s="53"/>
      <c r="C753" s="53"/>
      <c r="D753" s="53"/>
      <c r="E753" s="53"/>
    </row>
    <row r="754" spans="1:5" ht="12.75" customHeight="1" x14ac:dyDescent="0.2">
      <c r="A754" s="53"/>
      <c r="C754" s="53"/>
      <c r="D754" s="53"/>
      <c r="E754" s="53"/>
    </row>
    <row r="755" spans="1:5" ht="12.75" customHeight="1" x14ac:dyDescent="0.2">
      <c r="A755" s="53"/>
      <c r="C755" s="53"/>
      <c r="D755" s="53"/>
      <c r="E755" s="53"/>
    </row>
    <row r="756" spans="1:5" ht="12.75" customHeight="1" x14ac:dyDescent="0.2">
      <c r="A756" s="53"/>
      <c r="C756" s="53"/>
      <c r="D756" s="53"/>
      <c r="E756" s="53"/>
    </row>
    <row r="757" spans="1:5" ht="12.75" customHeight="1" x14ac:dyDescent="0.2">
      <c r="A757" s="53"/>
      <c r="C757" s="53"/>
      <c r="D757" s="53"/>
      <c r="E757" s="53"/>
    </row>
    <row r="758" spans="1:5" ht="12.75" customHeight="1" x14ac:dyDescent="0.2">
      <c r="A758" s="53"/>
      <c r="C758" s="53"/>
      <c r="D758" s="53"/>
      <c r="E758" s="53"/>
    </row>
    <row r="759" spans="1:5" ht="12.75" customHeight="1" x14ac:dyDescent="0.2">
      <c r="A759" s="53"/>
      <c r="C759" s="53"/>
      <c r="D759" s="53"/>
      <c r="E759" s="53"/>
    </row>
    <row r="760" spans="1:5" ht="12.75" customHeight="1" x14ac:dyDescent="0.2">
      <c r="A760" s="53"/>
      <c r="C760" s="53"/>
      <c r="D760" s="53"/>
      <c r="E760" s="53"/>
    </row>
    <row r="761" spans="1:5" ht="12.75" customHeight="1" x14ac:dyDescent="0.2">
      <c r="A761" s="53"/>
      <c r="C761" s="53"/>
      <c r="D761" s="53"/>
      <c r="E761" s="53"/>
    </row>
    <row r="762" spans="1:5" ht="12.75" customHeight="1" x14ac:dyDescent="0.2">
      <c r="A762" s="53"/>
      <c r="C762" s="53"/>
      <c r="D762" s="53"/>
      <c r="E762" s="53"/>
    </row>
    <row r="763" spans="1:5" ht="12.75" customHeight="1" x14ac:dyDescent="0.2">
      <c r="A763" s="53"/>
      <c r="C763" s="53"/>
      <c r="D763" s="53"/>
      <c r="E763" s="53"/>
    </row>
    <row r="764" spans="1:5" ht="12.75" customHeight="1" x14ac:dyDescent="0.2">
      <c r="A764" s="53"/>
      <c r="C764" s="53"/>
      <c r="D764" s="53"/>
      <c r="E764" s="53"/>
    </row>
    <row r="765" spans="1:5" ht="12.75" customHeight="1" x14ac:dyDescent="0.2">
      <c r="A765" s="53"/>
      <c r="C765" s="53"/>
      <c r="D765" s="53"/>
      <c r="E765" s="53"/>
    </row>
    <row r="766" spans="1:5" ht="12.75" customHeight="1" x14ac:dyDescent="0.2">
      <c r="A766" s="53"/>
      <c r="C766" s="53"/>
      <c r="D766" s="53"/>
      <c r="E766" s="53"/>
    </row>
    <row r="767" spans="1:5" ht="12.75" customHeight="1" x14ac:dyDescent="0.2">
      <c r="A767" s="53"/>
      <c r="C767" s="53"/>
      <c r="D767" s="53"/>
      <c r="E767" s="53"/>
    </row>
    <row r="768" spans="1:5" ht="12.75" customHeight="1" x14ac:dyDescent="0.2">
      <c r="A768" s="53"/>
      <c r="C768" s="53"/>
      <c r="D768" s="53"/>
      <c r="E768" s="53"/>
    </row>
    <row r="769" spans="1:5" ht="12.75" customHeight="1" x14ac:dyDescent="0.2">
      <c r="A769" s="53"/>
      <c r="C769" s="53"/>
      <c r="D769" s="53"/>
      <c r="E769" s="53"/>
    </row>
    <row r="770" spans="1:5" ht="12.75" customHeight="1" x14ac:dyDescent="0.2">
      <c r="A770" s="53"/>
      <c r="C770" s="53"/>
      <c r="D770" s="53"/>
      <c r="E770" s="53"/>
    </row>
    <row r="771" spans="1:5" ht="12.75" customHeight="1" x14ac:dyDescent="0.2">
      <c r="A771" s="53"/>
      <c r="C771" s="53"/>
      <c r="D771" s="53"/>
      <c r="E771" s="53"/>
    </row>
    <row r="772" spans="1:5" ht="12.75" customHeight="1" x14ac:dyDescent="0.2">
      <c r="A772" s="53"/>
      <c r="C772" s="53"/>
      <c r="D772" s="53"/>
      <c r="E772" s="53"/>
    </row>
    <row r="773" spans="1:5" ht="12.75" customHeight="1" x14ac:dyDescent="0.2">
      <c r="A773" s="53"/>
      <c r="C773" s="53"/>
      <c r="D773" s="53"/>
      <c r="E773" s="53"/>
    </row>
    <row r="774" spans="1:5" ht="12.75" customHeight="1" x14ac:dyDescent="0.2">
      <c r="A774" s="53"/>
      <c r="C774" s="53"/>
      <c r="D774" s="53"/>
      <c r="E774" s="53"/>
    </row>
    <row r="775" spans="1:5" ht="12.75" customHeight="1" x14ac:dyDescent="0.2">
      <c r="A775" s="53"/>
      <c r="C775" s="53"/>
      <c r="D775" s="53"/>
      <c r="E775" s="53"/>
    </row>
    <row r="776" spans="1:5" ht="12.75" customHeight="1" x14ac:dyDescent="0.2">
      <c r="A776" s="53"/>
      <c r="C776" s="53"/>
      <c r="D776" s="53"/>
      <c r="E776" s="53"/>
    </row>
    <row r="777" spans="1:5" ht="12.75" customHeight="1" x14ac:dyDescent="0.2">
      <c r="A777" s="53"/>
      <c r="C777" s="53"/>
      <c r="D777" s="53"/>
      <c r="E777" s="53"/>
    </row>
    <row r="778" spans="1:5" ht="12.75" customHeight="1" x14ac:dyDescent="0.2">
      <c r="A778" s="53"/>
      <c r="C778" s="53"/>
      <c r="D778" s="53"/>
      <c r="E778" s="53"/>
    </row>
    <row r="779" spans="1:5" ht="12.75" customHeight="1" x14ac:dyDescent="0.2">
      <c r="A779" s="53"/>
      <c r="C779" s="53"/>
      <c r="D779" s="53"/>
      <c r="E779" s="53"/>
    </row>
    <row r="780" spans="1:5" ht="12.75" customHeight="1" x14ac:dyDescent="0.2">
      <c r="A780" s="53"/>
      <c r="C780" s="53"/>
      <c r="D780" s="53"/>
      <c r="E780" s="53"/>
    </row>
    <row r="781" spans="1:5" ht="12.75" customHeight="1" x14ac:dyDescent="0.2">
      <c r="A781" s="53"/>
      <c r="C781" s="53"/>
      <c r="D781" s="53"/>
      <c r="E781" s="53"/>
    </row>
    <row r="782" spans="1:5" ht="12.75" customHeight="1" x14ac:dyDescent="0.2">
      <c r="A782" s="53"/>
      <c r="C782" s="53"/>
      <c r="D782" s="53"/>
      <c r="E782" s="53"/>
    </row>
    <row r="783" spans="1:5" ht="12.75" customHeight="1" x14ac:dyDescent="0.2">
      <c r="A783" s="53"/>
      <c r="C783" s="53"/>
      <c r="D783" s="53"/>
      <c r="E783" s="53"/>
    </row>
    <row r="784" spans="1:5" ht="12.75" customHeight="1" x14ac:dyDescent="0.2">
      <c r="A784" s="53"/>
      <c r="C784" s="53"/>
      <c r="D784" s="53"/>
      <c r="E784" s="53"/>
    </row>
    <row r="785" spans="1:5" ht="12.75" customHeight="1" x14ac:dyDescent="0.2">
      <c r="A785" s="53"/>
      <c r="C785" s="53"/>
      <c r="D785" s="53"/>
      <c r="E785" s="53"/>
    </row>
    <row r="786" spans="1:5" ht="12.75" customHeight="1" x14ac:dyDescent="0.2">
      <c r="A786" s="53"/>
      <c r="C786" s="53"/>
      <c r="D786" s="53"/>
      <c r="E786" s="53"/>
    </row>
    <row r="787" spans="1:5" ht="12.75" customHeight="1" x14ac:dyDescent="0.2">
      <c r="A787" s="53"/>
      <c r="C787" s="53"/>
      <c r="D787" s="53"/>
      <c r="E787" s="53"/>
    </row>
    <row r="788" spans="1:5" ht="12.75" customHeight="1" x14ac:dyDescent="0.2">
      <c r="A788" s="53"/>
      <c r="C788" s="53"/>
      <c r="D788" s="53"/>
      <c r="E788" s="53"/>
    </row>
    <row r="789" spans="1:5" ht="12.75" customHeight="1" x14ac:dyDescent="0.2">
      <c r="A789" s="53"/>
      <c r="C789" s="53"/>
      <c r="D789" s="53"/>
      <c r="E789" s="53"/>
    </row>
    <row r="790" spans="1:5" ht="12.75" customHeight="1" x14ac:dyDescent="0.2">
      <c r="A790" s="53"/>
      <c r="C790" s="53"/>
      <c r="D790" s="53"/>
      <c r="E790" s="53"/>
    </row>
    <row r="791" spans="1:5" ht="12.75" customHeight="1" x14ac:dyDescent="0.2">
      <c r="A791" s="53"/>
      <c r="C791" s="53"/>
      <c r="D791" s="53"/>
      <c r="E791" s="53"/>
    </row>
    <row r="792" spans="1:5" ht="12.75" customHeight="1" x14ac:dyDescent="0.2">
      <c r="A792" s="53"/>
      <c r="C792" s="53"/>
      <c r="D792" s="53"/>
      <c r="E792" s="53"/>
    </row>
    <row r="793" spans="1:5" ht="12.75" customHeight="1" x14ac:dyDescent="0.2">
      <c r="A793" s="53"/>
      <c r="C793" s="53"/>
      <c r="D793" s="53"/>
      <c r="E793" s="53"/>
    </row>
    <row r="794" spans="1:5" ht="12.75" customHeight="1" x14ac:dyDescent="0.2">
      <c r="A794" s="53"/>
      <c r="C794" s="53"/>
      <c r="D794" s="53"/>
      <c r="E794" s="53"/>
    </row>
    <row r="795" spans="1:5" ht="12.75" customHeight="1" x14ac:dyDescent="0.2">
      <c r="A795" s="53"/>
      <c r="C795" s="53"/>
      <c r="D795" s="53"/>
      <c r="E795" s="53"/>
    </row>
    <row r="796" spans="1:5" ht="12.75" customHeight="1" x14ac:dyDescent="0.2">
      <c r="A796" s="53"/>
      <c r="C796" s="53"/>
      <c r="D796" s="53"/>
      <c r="E796" s="53"/>
    </row>
    <row r="797" spans="1:5" ht="12.75" customHeight="1" x14ac:dyDescent="0.2">
      <c r="A797" s="53"/>
      <c r="C797" s="53"/>
      <c r="D797" s="53"/>
      <c r="E797" s="53"/>
    </row>
    <row r="798" spans="1:5" ht="12.75" customHeight="1" x14ac:dyDescent="0.2">
      <c r="A798" s="53"/>
      <c r="C798" s="53"/>
      <c r="D798" s="53"/>
      <c r="E798" s="53"/>
    </row>
    <row r="799" spans="1:5" ht="12.75" customHeight="1" x14ac:dyDescent="0.2">
      <c r="A799" s="53"/>
      <c r="C799" s="53"/>
      <c r="D799" s="53"/>
      <c r="E799" s="53"/>
    </row>
    <row r="800" spans="1:5" ht="12.75" customHeight="1" x14ac:dyDescent="0.2">
      <c r="A800" s="53"/>
      <c r="C800" s="53"/>
      <c r="D800" s="53"/>
      <c r="E800" s="53"/>
    </row>
    <row r="801" spans="1:5" ht="12.75" customHeight="1" x14ac:dyDescent="0.2">
      <c r="A801" s="53"/>
      <c r="C801" s="53"/>
      <c r="D801" s="53"/>
      <c r="E801" s="53"/>
    </row>
    <row r="802" spans="1:5" ht="12.75" customHeight="1" x14ac:dyDescent="0.2">
      <c r="A802" s="53"/>
      <c r="C802" s="53"/>
      <c r="D802" s="53"/>
      <c r="E802" s="53"/>
    </row>
    <row r="803" spans="1:5" ht="12.75" customHeight="1" x14ac:dyDescent="0.2">
      <c r="A803" s="53"/>
      <c r="C803" s="53"/>
      <c r="D803" s="53"/>
      <c r="E803" s="53"/>
    </row>
    <row r="804" spans="1:5" ht="12.75" customHeight="1" x14ac:dyDescent="0.2">
      <c r="A804" s="53"/>
      <c r="C804" s="53"/>
      <c r="D804" s="53"/>
      <c r="E804" s="53"/>
    </row>
    <row r="805" spans="1:5" ht="12.75" customHeight="1" x14ac:dyDescent="0.2">
      <c r="A805" s="53"/>
      <c r="C805" s="53"/>
      <c r="D805" s="53"/>
      <c r="E805" s="53"/>
    </row>
    <row r="806" spans="1:5" ht="12.75" customHeight="1" x14ac:dyDescent="0.2">
      <c r="A806" s="53"/>
      <c r="C806" s="53"/>
      <c r="D806" s="53"/>
      <c r="E806" s="53"/>
    </row>
    <row r="807" spans="1:5" ht="12.75" customHeight="1" x14ac:dyDescent="0.2">
      <c r="A807" s="53"/>
      <c r="C807" s="53"/>
      <c r="D807" s="53"/>
      <c r="E807" s="53"/>
    </row>
    <row r="808" spans="1:5" ht="12.75" customHeight="1" x14ac:dyDescent="0.2">
      <c r="A808" s="53"/>
      <c r="C808" s="53"/>
      <c r="D808" s="53"/>
      <c r="E808" s="53"/>
    </row>
    <row r="809" spans="1:5" ht="12.75" customHeight="1" x14ac:dyDescent="0.2">
      <c r="A809" s="53"/>
      <c r="C809" s="53"/>
      <c r="D809" s="53"/>
      <c r="E809" s="53"/>
    </row>
    <row r="810" spans="1:5" ht="12.75" customHeight="1" x14ac:dyDescent="0.2">
      <c r="A810" s="53"/>
      <c r="C810" s="53"/>
      <c r="D810" s="53"/>
      <c r="E810" s="53"/>
    </row>
    <row r="811" spans="1:5" ht="12.75" customHeight="1" x14ac:dyDescent="0.2">
      <c r="A811" s="53"/>
      <c r="C811" s="53"/>
      <c r="D811" s="53"/>
      <c r="E811" s="53"/>
    </row>
    <row r="812" spans="1:5" ht="12.75" customHeight="1" x14ac:dyDescent="0.2">
      <c r="A812" s="53"/>
      <c r="C812" s="53"/>
      <c r="D812" s="53"/>
      <c r="E812" s="53"/>
    </row>
    <row r="813" spans="1:5" ht="12.75" customHeight="1" x14ac:dyDescent="0.2">
      <c r="A813" s="53"/>
      <c r="C813" s="53"/>
      <c r="D813" s="53"/>
      <c r="E813" s="53"/>
    </row>
    <row r="814" spans="1:5" ht="12.75" customHeight="1" x14ac:dyDescent="0.2">
      <c r="A814" s="53"/>
      <c r="C814" s="53"/>
      <c r="D814" s="53"/>
      <c r="E814" s="53"/>
    </row>
    <row r="815" spans="1:5" ht="12.75" customHeight="1" x14ac:dyDescent="0.2">
      <c r="A815" s="53"/>
      <c r="C815" s="53"/>
      <c r="D815" s="53"/>
      <c r="E815" s="53"/>
    </row>
    <row r="816" spans="1:5" ht="12.75" customHeight="1" x14ac:dyDescent="0.2">
      <c r="A816" s="53"/>
      <c r="C816" s="53"/>
      <c r="D816" s="53"/>
      <c r="E816" s="53"/>
    </row>
    <row r="817" spans="1:5" ht="12.75" customHeight="1" x14ac:dyDescent="0.2">
      <c r="A817" s="53"/>
      <c r="C817" s="53"/>
      <c r="D817" s="53"/>
      <c r="E817" s="53"/>
    </row>
    <row r="818" spans="1:5" ht="12.75" customHeight="1" x14ac:dyDescent="0.2">
      <c r="A818" s="53"/>
      <c r="C818" s="53"/>
      <c r="D818" s="53"/>
      <c r="E818" s="53"/>
    </row>
    <row r="819" spans="1:5" ht="12.75" customHeight="1" x14ac:dyDescent="0.2">
      <c r="A819" s="53"/>
      <c r="C819" s="53"/>
      <c r="D819" s="53"/>
      <c r="E819" s="53"/>
    </row>
    <row r="820" spans="1:5" ht="12.75" customHeight="1" x14ac:dyDescent="0.2">
      <c r="A820" s="53"/>
      <c r="C820" s="53"/>
      <c r="D820" s="53"/>
      <c r="E820" s="53"/>
    </row>
    <row r="821" spans="1:5" ht="12.75" customHeight="1" x14ac:dyDescent="0.2">
      <c r="A821" s="53"/>
      <c r="C821" s="53"/>
      <c r="D821" s="53"/>
      <c r="E821" s="53"/>
    </row>
    <row r="822" spans="1:5" ht="12.75" customHeight="1" x14ac:dyDescent="0.2">
      <c r="A822" s="53"/>
      <c r="C822" s="53"/>
      <c r="D822" s="53"/>
      <c r="E822" s="53"/>
    </row>
    <row r="823" spans="1:5" ht="12.75" customHeight="1" x14ac:dyDescent="0.2">
      <c r="A823" s="53"/>
      <c r="C823" s="53"/>
      <c r="D823" s="53"/>
      <c r="E823" s="53"/>
    </row>
    <row r="824" spans="1:5" ht="12.75" customHeight="1" x14ac:dyDescent="0.2">
      <c r="A824" s="53"/>
      <c r="C824" s="53"/>
      <c r="D824" s="53"/>
      <c r="E824" s="53"/>
    </row>
    <row r="825" spans="1:5" ht="12.75" customHeight="1" x14ac:dyDescent="0.2">
      <c r="A825" s="53"/>
      <c r="C825" s="53"/>
      <c r="D825" s="53"/>
      <c r="E825" s="53"/>
    </row>
    <row r="826" spans="1:5" ht="12.75" customHeight="1" x14ac:dyDescent="0.2">
      <c r="A826" s="53"/>
      <c r="C826" s="53"/>
      <c r="D826" s="53"/>
      <c r="E826" s="53"/>
    </row>
    <row r="827" spans="1:5" ht="12.75" customHeight="1" x14ac:dyDescent="0.2">
      <c r="A827" s="53"/>
      <c r="C827" s="53"/>
      <c r="D827" s="53"/>
      <c r="E827" s="53"/>
    </row>
    <row r="828" spans="1:5" ht="12.75" customHeight="1" x14ac:dyDescent="0.2">
      <c r="A828" s="53"/>
      <c r="C828" s="53"/>
      <c r="D828" s="53"/>
      <c r="E828" s="53"/>
    </row>
    <row r="829" spans="1:5" ht="12.75" customHeight="1" x14ac:dyDescent="0.2">
      <c r="A829" s="53"/>
      <c r="C829" s="53"/>
      <c r="D829" s="53"/>
      <c r="E829" s="53"/>
    </row>
    <row r="830" spans="1:5" ht="12.75" customHeight="1" x14ac:dyDescent="0.2">
      <c r="A830" s="53"/>
      <c r="C830" s="53"/>
      <c r="D830" s="53"/>
      <c r="E830" s="53"/>
    </row>
    <row r="831" spans="1:5" ht="12.75" customHeight="1" x14ac:dyDescent="0.2">
      <c r="A831" s="53"/>
      <c r="C831" s="53"/>
      <c r="D831" s="53"/>
      <c r="E831" s="53"/>
    </row>
    <row r="832" spans="1:5" ht="12.75" customHeight="1" x14ac:dyDescent="0.2">
      <c r="A832" s="53"/>
      <c r="C832" s="53"/>
      <c r="D832" s="53"/>
      <c r="E832" s="53"/>
    </row>
    <row r="833" spans="1:5" ht="12.75" customHeight="1" x14ac:dyDescent="0.2">
      <c r="A833" s="53"/>
      <c r="C833" s="53"/>
      <c r="D833" s="53"/>
      <c r="E833" s="53"/>
    </row>
    <row r="834" spans="1:5" ht="12.75" customHeight="1" x14ac:dyDescent="0.2">
      <c r="A834" s="53"/>
      <c r="C834" s="53"/>
      <c r="D834" s="53"/>
      <c r="E834" s="53"/>
    </row>
    <row r="835" spans="1:5" ht="12.75" customHeight="1" x14ac:dyDescent="0.2">
      <c r="A835" s="53"/>
      <c r="C835" s="53"/>
      <c r="D835" s="53"/>
      <c r="E835" s="53"/>
    </row>
    <row r="836" spans="1:5" ht="12.75" customHeight="1" x14ac:dyDescent="0.2">
      <c r="A836" s="53"/>
      <c r="C836" s="53"/>
      <c r="D836" s="53"/>
      <c r="E836" s="53"/>
    </row>
    <row r="837" spans="1:5" ht="12.75" customHeight="1" x14ac:dyDescent="0.2">
      <c r="A837" s="53"/>
      <c r="C837" s="53"/>
      <c r="D837" s="53"/>
      <c r="E837" s="53"/>
    </row>
    <row r="838" spans="1:5" ht="12.75" customHeight="1" x14ac:dyDescent="0.2">
      <c r="A838" s="53"/>
      <c r="C838" s="53"/>
      <c r="D838" s="53"/>
      <c r="E838" s="53"/>
    </row>
    <row r="839" spans="1:5" ht="12.75" customHeight="1" x14ac:dyDescent="0.2">
      <c r="A839" s="53"/>
      <c r="C839" s="53"/>
      <c r="D839" s="53"/>
      <c r="E839" s="53"/>
    </row>
    <row r="840" spans="1:5" ht="12.75" customHeight="1" x14ac:dyDescent="0.2">
      <c r="A840" s="53"/>
      <c r="C840" s="53"/>
      <c r="D840" s="53"/>
      <c r="E840" s="53"/>
    </row>
    <row r="841" spans="1:5" ht="12.75" customHeight="1" x14ac:dyDescent="0.2">
      <c r="A841" s="53"/>
      <c r="C841" s="53"/>
      <c r="D841" s="53"/>
      <c r="E841" s="53"/>
    </row>
    <row r="842" spans="1:5" ht="12.75" customHeight="1" x14ac:dyDescent="0.2">
      <c r="A842" s="53"/>
      <c r="C842" s="53"/>
      <c r="D842" s="53"/>
      <c r="E842" s="53"/>
    </row>
    <row r="843" spans="1:5" ht="12.75" customHeight="1" x14ac:dyDescent="0.2">
      <c r="A843" s="53"/>
      <c r="C843" s="53"/>
      <c r="D843" s="53"/>
      <c r="E843" s="53"/>
    </row>
    <row r="844" spans="1:5" ht="12.75" customHeight="1" x14ac:dyDescent="0.2">
      <c r="A844" s="53"/>
      <c r="C844" s="53"/>
      <c r="D844" s="53"/>
      <c r="E844" s="53"/>
    </row>
    <row r="845" spans="1:5" ht="12.75" customHeight="1" x14ac:dyDescent="0.2">
      <c r="A845" s="53"/>
      <c r="C845" s="53"/>
      <c r="D845" s="53"/>
      <c r="E845" s="53"/>
    </row>
    <row r="846" spans="1:5" ht="12.75" customHeight="1" x14ac:dyDescent="0.2">
      <c r="A846" s="53"/>
      <c r="C846" s="53"/>
      <c r="D846" s="53"/>
      <c r="E846" s="53"/>
    </row>
    <row r="847" spans="1:5" ht="12.75" customHeight="1" x14ac:dyDescent="0.2">
      <c r="A847" s="53"/>
      <c r="C847" s="53"/>
      <c r="D847" s="53"/>
      <c r="E847" s="53"/>
    </row>
    <row r="848" spans="1:5" ht="12.75" customHeight="1" x14ac:dyDescent="0.2">
      <c r="A848" s="53"/>
      <c r="C848" s="53"/>
      <c r="D848" s="53"/>
      <c r="E848" s="53"/>
    </row>
    <row r="849" spans="1:5" ht="12.75" customHeight="1" x14ac:dyDescent="0.2">
      <c r="A849" s="53"/>
      <c r="C849" s="53"/>
      <c r="D849" s="53"/>
      <c r="E849" s="53"/>
    </row>
    <row r="850" spans="1:5" ht="12.75" customHeight="1" x14ac:dyDescent="0.2">
      <c r="A850" s="53"/>
      <c r="C850" s="53"/>
      <c r="D850" s="53"/>
      <c r="E850" s="53"/>
    </row>
    <row r="851" spans="1:5" ht="12.75" customHeight="1" x14ac:dyDescent="0.2">
      <c r="A851" s="53"/>
      <c r="C851" s="53"/>
      <c r="D851" s="53"/>
      <c r="E851" s="53"/>
    </row>
    <row r="852" spans="1:5" ht="12.75" customHeight="1" x14ac:dyDescent="0.2">
      <c r="A852" s="53"/>
      <c r="C852" s="53"/>
      <c r="D852" s="53"/>
      <c r="E852" s="53"/>
    </row>
    <row r="853" spans="1:5" ht="12.75" customHeight="1" x14ac:dyDescent="0.2">
      <c r="A853" s="53"/>
      <c r="C853" s="53"/>
      <c r="D853" s="53"/>
      <c r="E853" s="53"/>
    </row>
    <row r="854" spans="1:5" ht="12.75" customHeight="1" x14ac:dyDescent="0.2">
      <c r="A854" s="53"/>
      <c r="C854" s="53"/>
      <c r="D854" s="53"/>
      <c r="E854" s="53"/>
    </row>
    <row r="855" spans="1:5" ht="12.75" customHeight="1" x14ac:dyDescent="0.2">
      <c r="A855" s="53"/>
      <c r="C855" s="53"/>
      <c r="D855" s="53"/>
      <c r="E855" s="53"/>
    </row>
    <row r="856" spans="1:5" ht="12.75" customHeight="1" x14ac:dyDescent="0.2">
      <c r="A856" s="53"/>
      <c r="C856" s="53"/>
      <c r="D856" s="53"/>
      <c r="E856" s="53"/>
    </row>
    <row r="857" spans="1:5" ht="12.75" customHeight="1" x14ac:dyDescent="0.2">
      <c r="A857" s="53"/>
      <c r="C857" s="53"/>
      <c r="D857" s="53"/>
      <c r="E857" s="53"/>
    </row>
    <row r="858" spans="1:5" ht="12.75" customHeight="1" x14ac:dyDescent="0.2">
      <c r="A858" s="53"/>
      <c r="C858" s="53"/>
      <c r="D858" s="53"/>
      <c r="E858" s="53"/>
    </row>
    <row r="859" spans="1:5" ht="12.75" customHeight="1" x14ac:dyDescent="0.2">
      <c r="A859" s="53"/>
      <c r="C859" s="53"/>
      <c r="D859" s="53"/>
      <c r="E859" s="53"/>
    </row>
    <row r="860" spans="1:5" ht="12.75" customHeight="1" x14ac:dyDescent="0.2">
      <c r="A860" s="53"/>
      <c r="C860" s="53"/>
      <c r="D860" s="53"/>
      <c r="E860" s="53"/>
    </row>
    <row r="861" spans="1:5" ht="12.75" customHeight="1" x14ac:dyDescent="0.2">
      <c r="A861" s="53"/>
      <c r="C861" s="53"/>
      <c r="D861" s="53"/>
      <c r="E861" s="53"/>
    </row>
    <row r="862" spans="1:5" ht="12.75" customHeight="1" x14ac:dyDescent="0.2">
      <c r="A862" s="53"/>
      <c r="C862" s="53"/>
      <c r="D862" s="53"/>
      <c r="E862" s="53"/>
    </row>
    <row r="863" spans="1:5" ht="12.75" customHeight="1" x14ac:dyDescent="0.2">
      <c r="A863" s="53"/>
      <c r="C863" s="53"/>
      <c r="D863" s="53"/>
      <c r="E863" s="53"/>
    </row>
    <row r="864" spans="1:5" ht="12.75" customHeight="1" x14ac:dyDescent="0.2">
      <c r="A864" s="53"/>
      <c r="C864" s="53"/>
      <c r="D864" s="53"/>
      <c r="E864" s="53"/>
    </row>
    <row r="865" spans="1:5" ht="12.75" customHeight="1" x14ac:dyDescent="0.2">
      <c r="A865" s="53"/>
      <c r="C865" s="53"/>
      <c r="D865" s="53"/>
      <c r="E865" s="53"/>
    </row>
    <row r="866" spans="1:5" ht="12.75" customHeight="1" x14ac:dyDescent="0.2">
      <c r="A866" s="53"/>
      <c r="C866" s="53"/>
      <c r="D866" s="53"/>
      <c r="E866" s="53"/>
    </row>
    <row r="867" spans="1:5" ht="12.75" customHeight="1" x14ac:dyDescent="0.2">
      <c r="A867" s="53"/>
      <c r="C867" s="53"/>
      <c r="D867" s="53"/>
      <c r="E867" s="53"/>
    </row>
    <row r="868" spans="1:5" ht="12.75" customHeight="1" x14ac:dyDescent="0.2">
      <c r="A868" s="53"/>
      <c r="C868" s="53"/>
      <c r="D868" s="53"/>
      <c r="E868" s="53"/>
    </row>
    <row r="869" spans="1:5" ht="12.75" customHeight="1" x14ac:dyDescent="0.2">
      <c r="A869" s="53"/>
      <c r="C869" s="53"/>
      <c r="D869" s="53"/>
      <c r="E869" s="53"/>
    </row>
    <row r="870" spans="1:5" ht="12.75" customHeight="1" x14ac:dyDescent="0.2">
      <c r="A870" s="53"/>
      <c r="C870" s="53"/>
      <c r="D870" s="53"/>
      <c r="E870" s="53"/>
    </row>
    <row r="871" spans="1:5" ht="12.75" customHeight="1" x14ac:dyDescent="0.2">
      <c r="A871" s="53"/>
      <c r="C871" s="53"/>
      <c r="D871" s="53"/>
      <c r="E871" s="53"/>
    </row>
    <row r="872" spans="1:5" ht="12.75" customHeight="1" x14ac:dyDescent="0.2">
      <c r="A872" s="53"/>
      <c r="C872" s="53"/>
      <c r="D872" s="53"/>
      <c r="E872" s="53"/>
    </row>
    <row r="873" spans="1:5" ht="12.75" customHeight="1" x14ac:dyDescent="0.2">
      <c r="A873" s="53"/>
      <c r="C873" s="53"/>
      <c r="D873" s="53"/>
      <c r="E873" s="53"/>
    </row>
    <row r="874" spans="1:5" ht="12.75" customHeight="1" x14ac:dyDescent="0.2">
      <c r="A874" s="53"/>
      <c r="C874" s="53"/>
      <c r="D874" s="53"/>
      <c r="E874" s="53"/>
    </row>
    <row r="875" spans="1:5" ht="12.75" customHeight="1" x14ac:dyDescent="0.2">
      <c r="A875" s="53"/>
      <c r="C875" s="53"/>
      <c r="D875" s="53"/>
      <c r="E875" s="53"/>
    </row>
    <row r="876" spans="1:5" ht="12.75" customHeight="1" x14ac:dyDescent="0.2">
      <c r="A876" s="53"/>
      <c r="C876" s="53"/>
      <c r="D876" s="53"/>
      <c r="E876" s="53"/>
    </row>
    <row r="877" spans="1:5" ht="12.75" customHeight="1" x14ac:dyDescent="0.2">
      <c r="A877" s="53"/>
      <c r="C877" s="53"/>
      <c r="D877" s="53"/>
      <c r="E877" s="53"/>
    </row>
    <row r="878" spans="1:5" ht="12.75" customHeight="1" x14ac:dyDescent="0.2">
      <c r="A878" s="53"/>
      <c r="C878" s="53"/>
      <c r="D878" s="53"/>
      <c r="E878" s="53"/>
    </row>
    <row r="879" spans="1:5" ht="12.75" customHeight="1" x14ac:dyDescent="0.2">
      <c r="A879" s="53"/>
      <c r="C879" s="53"/>
      <c r="D879" s="53"/>
      <c r="E879" s="53"/>
    </row>
    <row r="880" spans="1:5" ht="12.75" customHeight="1" x14ac:dyDescent="0.2">
      <c r="A880" s="53"/>
      <c r="C880" s="53"/>
      <c r="D880" s="53"/>
      <c r="E880" s="53"/>
    </row>
    <row r="881" spans="1:5" ht="12.75" customHeight="1" x14ac:dyDescent="0.2">
      <c r="A881" s="53"/>
      <c r="C881" s="53"/>
      <c r="D881" s="53"/>
      <c r="E881" s="53"/>
    </row>
    <row r="882" spans="1:5" ht="12.75" customHeight="1" x14ac:dyDescent="0.2">
      <c r="A882" s="53"/>
      <c r="C882" s="53"/>
      <c r="D882" s="53"/>
      <c r="E882" s="53"/>
    </row>
    <row r="883" spans="1:5" ht="12.75" customHeight="1" x14ac:dyDescent="0.2">
      <c r="A883" s="53"/>
      <c r="C883" s="53"/>
      <c r="D883" s="53"/>
      <c r="E883" s="53"/>
    </row>
    <row r="884" spans="1:5" ht="12.75" customHeight="1" x14ac:dyDescent="0.2">
      <c r="A884" s="53"/>
      <c r="C884" s="53"/>
      <c r="D884" s="53"/>
      <c r="E884" s="53"/>
    </row>
    <row r="885" spans="1:5" ht="12.75" customHeight="1" x14ac:dyDescent="0.2">
      <c r="A885" s="53"/>
      <c r="C885" s="53"/>
      <c r="D885" s="53"/>
      <c r="E885" s="53"/>
    </row>
    <row r="886" spans="1:5" ht="12.75" customHeight="1" x14ac:dyDescent="0.2">
      <c r="A886" s="53"/>
      <c r="C886" s="53"/>
      <c r="D886" s="53"/>
      <c r="E886" s="53"/>
    </row>
    <row r="887" spans="1:5" ht="12.75" customHeight="1" x14ac:dyDescent="0.2">
      <c r="A887" s="53"/>
      <c r="C887" s="53"/>
      <c r="D887" s="53"/>
      <c r="E887" s="53"/>
    </row>
    <row r="888" spans="1:5" ht="12.75" customHeight="1" x14ac:dyDescent="0.2">
      <c r="A888" s="53"/>
      <c r="C888" s="53"/>
      <c r="D888" s="53"/>
      <c r="E888" s="53"/>
    </row>
    <row r="889" spans="1:5" ht="12.75" customHeight="1" x14ac:dyDescent="0.2">
      <c r="A889" s="53"/>
      <c r="C889" s="53"/>
      <c r="D889" s="53"/>
      <c r="E889" s="53"/>
    </row>
    <row r="890" spans="1:5" ht="12.75" customHeight="1" x14ac:dyDescent="0.2">
      <c r="A890" s="53"/>
      <c r="C890" s="53"/>
      <c r="D890" s="53"/>
      <c r="E890" s="53"/>
    </row>
    <row r="891" spans="1:5" ht="12.75" customHeight="1" x14ac:dyDescent="0.2">
      <c r="A891" s="53"/>
      <c r="C891" s="53"/>
      <c r="D891" s="53"/>
      <c r="E891" s="53"/>
    </row>
    <row r="892" spans="1:5" ht="12.75" customHeight="1" x14ac:dyDescent="0.2">
      <c r="A892" s="53"/>
      <c r="C892" s="53"/>
      <c r="D892" s="53"/>
      <c r="E892" s="53"/>
    </row>
    <row r="893" spans="1:5" ht="12.75" customHeight="1" x14ac:dyDescent="0.2">
      <c r="A893" s="53"/>
      <c r="C893" s="53"/>
      <c r="D893" s="53"/>
      <c r="E893" s="53"/>
    </row>
    <row r="894" spans="1:5" ht="12.75" customHeight="1" x14ac:dyDescent="0.2">
      <c r="A894" s="53"/>
      <c r="C894" s="53"/>
      <c r="D894" s="53"/>
      <c r="E894" s="53"/>
    </row>
    <row r="895" spans="1:5" ht="12.75" customHeight="1" x14ac:dyDescent="0.2">
      <c r="A895" s="53"/>
      <c r="C895" s="53"/>
      <c r="D895" s="53"/>
      <c r="E895" s="53"/>
    </row>
    <row r="896" spans="1:5" ht="12.75" customHeight="1" x14ac:dyDescent="0.2">
      <c r="A896" s="53"/>
      <c r="C896" s="53"/>
      <c r="D896" s="53"/>
      <c r="E896" s="53"/>
    </row>
    <row r="897" spans="1:5" ht="12.75" customHeight="1" x14ac:dyDescent="0.2">
      <c r="A897" s="53"/>
      <c r="C897" s="53"/>
      <c r="D897" s="53"/>
      <c r="E897" s="53"/>
    </row>
    <row r="898" spans="1:5" ht="12.75" customHeight="1" x14ac:dyDescent="0.2">
      <c r="A898" s="53"/>
      <c r="C898" s="53"/>
      <c r="D898" s="53"/>
      <c r="E898" s="53"/>
    </row>
    <row r="899" spans="1:5" ht="12.75" customHeight="1" x14ac:dyDescent="0.2">
      <c r="A899" s="53"/>
      <c r="C899" s="53"/>
      <c r="D899" s="53"/>
      <c r="E899" s="53"/>
    </row>
    <row r="900" spans="1:5" ht="12.75" customHeight="1" x14ac:dyDescent="0.2">
      <c r="A900" s="53"/>
      <c r="C900" s="53"/>
      <c r="D900" s="53"/>
      <c r="E900" s="53"/>
    </row>
    <row r="901" spans="1:5" ht="12.75" customHeight="1" x14ac:dyDescent="0.2">
      <c r="A901" s="53"/>
      <c r="C901" s="53"/>
      <c r="D901" s="53"/>
      <c r="E901" s="53"/>
    </row>
    <row r="902" spans="1:5" ht="12.75" customHeight="1" x14ac:dyDescent="0.2">
      <c r="A902" s="53"/>
      <c r="C902" s="53"/>
      <c r="D902" s="53"/>
      <c r="E902" s="53"/>
    </row>
    <row r="903" spans="1:5" ht="12.75" customHeight="1" x14ac:dyDescent="0.2">
      <c r="A903" s="53"/>
      <c r="C903" s="53"/>
      <c r="D903" s="53"/>
      <c r="E903" s="53"/>
    </row>
    <row r="904" spans="1:5" ht="12.75" customHeight="1" x14ac:dyDescent="0.2">
      <c r="A904" s="53"/>
      <c r="C904" s="53"/>
      <c r="D904" s="53"/>
      <c r="E904" s="53"/>
    </row>
    <row r="905" spans="1:5" ht="12.75" customHeight="1" x14ac:dyDescent="0.2">
      <c r="A905" s="53"/>
      <c r="C905" s="53"/>
      <c r="D905" s="53"/>
      <c r="E905" s="53"/>
    </row>
    <row r="906" spans="1:5" ht="12.75" customHeight="1" x14ac:dyDescent="0.2">
      <c r="A906" s="53"/>
      <c r="C906" s="53"/>
      <c r="D906" s="53"/>
      <c r="E906" s="53"/>
    </row>
    <row r="907" spans="1:5" ht="12.75" customHeight="1" x14ac:dyDescent="0.2">
      <c r="A907" s="53"/>
      <c r="C907" s="53"/>
      <c r="D907" s="53"/>
      <c r="E907" s="53"/>
    </row>
    <row r="908" spans="1:5" ht="12.75" customHeight="1" x14ac:dyDescent="0.2">
      <c r="A908" s="53"/>
      <c r="C908" s="53"/>
      <c r="D908" s="53"/>
      <c r="E908" s="53"/>
    </row>
    <row r="909" spans="1:5" ht="12.75" customHeight="1" x14ac:dyDescent="0.2">
      <c r="A909" s="53"/>
      <c r="C909" s="53"/>
      <c r="D909" s="53"/>
      <c r="E909" s="53"/>
    </row>
    <row r="910" spans="1:5" ht="12.75" customHeight="1" x14ac:dyDescent="0.2">
      <c r="A910" s="53"/>
      <c r="C910" s="53"/>
      <c r="D910" s="53"/>
      <c r="E910" s="53"/>
    </row>
    <row r="911" spans="1:5" ht="12.75" customHeight="1" x14ac:dyDescent="0.2">
      <c r="A911" s="53"/>
      <c r="C911" s="53"/>
      <c r="D911" s="53"/>
      <c r="E911" s="53"/>
    </row>
    <row r="912" spans="1:5" ht="12.75" customHeight="1" x14ac:dyDescent="0.2">
      <c r="A912" s="53"/>
      <c r="C912" s="53"/>
      <c r="D912" s="53"/>
      <c r="E912" s="53"/>
    </row>
    <row r="913" spans="1:5" ht="12.75" customHeight="1" x14ac:dyDescent="0.2">
      <c r="A913" s="53"/>
      <c r="C913" s="53"/>
      <c r="D913" s="53"/>
      <c r="E913" s="53"/>
    </row>
    <row r="914" spans="1:5" ht="12.75" customHeight="1" x14ac:dyDescent="0.2">
      <c r="A914" s="53"/>
      <c r="C914" s="53"/>
      <c r="D914" s="53"/>
      <c r="E914" s="53"/>
    </row>
    <row r="915" spans="1:5" ht="12.75" customHeight="1" x14ac:dyDescent="0.2">
      <c r="A915" s="53"/>
      <c r="C915" s="53"/>
      <c r="D915" s="53"/>
      <c r="E915" s="53"/>
    </row>
    <row r="916" spans="1:5" ht="12.75" customHeight="1" x14ac:dyDescent="0.2">
      <c r="A916" s="53"/>
      <c r="C916" s="53"/>
      <c r="D916" s="53"/>
      <c r="E916" s="53"/>
    </row>
    <row r="917" spans="1:5" ht="12.75" customHeight="1" x14ac:dyDescent="0.2">
      <c r="A917" s="53"/>
      <c r="C917" s="53"/>
      <c r="D917" s="53"/>
      <c r="E917" s="53"/>
    </row>
    <row r="918" spans="1:5" ht="12.75" customHeight="1" x14ac:dyDescent="0.2">
      <c r="A918" s="53"/>
      <c r="C918" s="53"/>
      <c r="D918" s="53"/>
      <c r="E918" s="53"/>
    </row>
    <row r="919" spans="1:5" ht="12.75" customHeight="1" x14ac:dyDescent="0.2">
      <c r="A919" s="53"/>
      <c r="C919" s="53"/>
      <c r="D919" s="53"/>
      <c r="E919" s="53"/>
    </row>
    <row r="920" spans="1:5" ht="12.75" customHeight="1" x14ac:dyDescent="0.2">
      <c r="A920" s="53"/>
      <c r="C920" s="53"/>
      <c r="D920" s="53"/>
      <c r="E920" s="53"/>
    </row>
    <row r="921" spans="1:5" ht="12.75" customHeight="1" x14ac:dyDescent="0.2">
      <c r="A921" s="53"/>
      <c r="C921" s="53"/>
      <c r="D921" s="53"/>
      <c r="E921" s="53"/>
    </row>
    <row r="922" spans="1:5" ht="12.75" customHeight="1" x14ac:dyDescent="0.2">
      <c r="A922" s="53"/>
      <c r="C922" s="53"/>
      <c r="D922" s="53"/>
      <c r="E922" s="53"/>
    </row>
    <row r="923" spans="1:5" ht="12.75" customHeight="1" x14ac:dyDescent="0.2">
      <c r="A923" s="53"/>
      <c r="C923" s="53"/>
      <c r="D923" s="53"/>
      <c r="E923" s="53"/>
    </row>
    <row r="924" spans="1:5" ht="12.75" customHeight="1" x14ac:dyDescent="0.2">
      <c r="A924" s="53"/>
      <c r="C924" s="53"/>
      <c r="D924" s="53"/>
      <c r="E924" s="53"/>
    </row>
    <row r="925" spans="1:5" ht="12.75" customHeight="1" x14ac:dyDescent="0.2">
      <c r="A925" s="53"/>
      <c r="C925" s="53"/>
      <c r="D925" s="53"/>
      <c r="E925" s="53"/>
    </row>
    <row r="926" spans="1:5" ht="12.75" customHeight="1" x14ac:dyDescent="0.2">
      <c r="A926" s="53"/>
      <c r="C926" s="53"/>
      <c r="D926" s="53"/>
      <c r="E926" s="53"/>
    </row>
    <row r="927" spans="1:5" ht="12.75" customHeight="1" x14ac:dyDescent="0.2">
      <c r="A927" s="53"/>
      <c r="C927" s="53"/>
      <c r="D927" s="53"/>
      <c r="E927" s="53"/>
    </row>
    <row r="928" spans="1:5" ht="12.75" customHeight="1" x14ac:dyDescent="0.2">
      <c r="A928" s="53"/>
      <c r="C928" s="53"/>
      <c r="D928" s="53"/>
      <c r="E928" s="53"/>
    </row>
    <row r="929" spans="1:5" ht="12.75" customHeight="1" x14ac:dyDescent="0.2">
      <c r="A929" s="53"/>
      <c r="C929" s="53"/>
      <c r="D929" s="53"/>
      <c r="E929" s="53"/>
    </row>
    <row r="930" spans="1:5" ht="12.75" customHeight="1" x14ac:dyDescent="0.2">
      <c r="A930" s="53"/>
      <c r="C930" s="53"/>
      <c r="D930" s="53"/>
      <c r="E930" s="53"/>
    </row>
    <row r="931" spans="1:5" ht="12.75" customHeight="1" x14ac:dyDescent="0.2">
      <c r="A931" s="53"/>
      <c r="C931" s="53"/>
      <c r="D931" s="53"/>
      <c r="E931" s="53"/>
    </row>
    <row r="932" spans="1:5" ht="12.75" customHeight="1" x14ac:dyDescent="0.2">
      <c r="A932" s="53"/>
      <c r="C932" s="53"/>
      <c r="D932" s="53"/>
      <c r="E932" s="53"/>
    </row>
    <row r="933" spans="1:5" ht="12.75" customHeight="1" x14ac:dyDescent="0.2">
      <c r="A933" s="53"/>
      <c r="C933" s="53"/>
      <c r="D933" s="53"/>
      <c r="E933" s="53"/>
    </row>
    <row r="934" spans="1:5" ht="12.75" customHeight="1" x14ac:dyDescent="0.2">
      <c r="A934" s="53"/>
      <c r="C934" s="53"/>
      <c r="D934" s="53"/>
      <c r="E934" s="53"/>
    </row>
    <row r="935" spans="1:5" ht="12.75" customHeight="1" x14ac:dyDescent="0.2">
      <c r="A935" s="53"/>
      <c r="C935" s="53"/>
      <c r="D935" s="53"/>
      <c r="E935" s="53"/>
    </row>
    <row r="936" spans="1:5" ht="12.75" customHeight="1" x14ac:dyDescent="0.2">
      <c r="A936" s="53"/>
      <c r="C936" s="53"/>
      <c r="D936" s="53"/>
      <c r="E936" s="53"/>
    </row>
    <row r="937" spans="1:5" ht="12.75" customHeight="1" x14ac:dyDescent="0.2">
      <c r="A937" s="53"/>
      <c r="C937" s="53"/>
      <c r="D937" s="53"/>
      <c r="E937" s="53"/>
    </row>
    <row r="938" spans="1:5" ht="12.75" customHeight="1" x14ac:dyDescent="0.2">
      <c r="A938" s="53"/>
      <c r="C938" s="53"/>
      <c r="D938" s="53"/>
      <c r="E938" s="53"/>
    </row>
    <row r="939" spans="1:5" ht="12.75" customHeight="1" x14ac:dyDescent="0.2">
      <c r="A939" s="53"/>
      <c r="C939" s="53"/>
      <c r="D939" s="53"/>
      <c r="E939" s="53"/>
    </row>
    <row r="940" spans="1:5" ht="12.75" customHeight="1" x14ac:dyDescent="0.2">
      <c r="A940" s="53"/>
      <c r="C940" s="53"/>
      <c r="D940" s="53"/>
      <c r="E940" s="53"/>
    </row>
    <row r="941" spans="1:5" ht="12.75" customHeight="1" x14ac:dyDescent="0.2">
      <c r="A941" s="53"/>
      <c r="C941" s="53"/>
      <c r="D941" s="53"/>
      <c r="E941" s="53"/>
    </row>
    <row r="942" spans="1:5" ht="12.75" customHeight="1" x14ac:dyDescent="0.2">
      <c r="A942" s="53"/>
      <c r="C942" s="53"/>
      <c r="D942" s="53"/>
      <c r="E942" s="53"/>
    </row>
    <row r="943" spans="1:5" ht="12.75" customHeight="1" x14ac:dyDescent="0.2">
      <c r="A943" s="53"/>
      <c r="C943" s="53"/>
      <c r="D943" s="53"/>
      <c r="E943" s="53"/>
    </row>
    <row r="944" spans="1:5" ht="12.75" customHeight="1" x14ac:dyDescent="0.2">
      <c r="A944" s="53"/>
      <c r="C944" s="53"/>
      <c r="D944" s="53"/>
      <c r="E944" s="53"/>
    </row>
    <row r="945" spans="1:5" ht="12.75" customHeight="1" x14ac:dyDescent="0.2">
      <c r="A945" s="53"/>
      <c r="C945" s="53"/>
      <c r="D945" s="53"/>
      <c r="E945" s="53"/>
    </row>
    <row r="946" spans="1:5" ht="12.75" customHeight="1" x14ac:dyDescent="0.2">
      <c r="A946" s="53"/>
      <c r="C946" s="53"/>
      <c r="D946" s="53"/>
      <c r="E946" s="53"/>
    </row>
    <row r="947" spans="1:5" ht="12.75" customHeight="1" x14ac:dyDescent="0.2">
      <c r="A947" s="53"/>
      <c r="C947" s="53"/>
      <c r="D947" s="53"/>
      <c r="E947" s="53"/>
    </row>
    <row r="948" spans="1:5" ht="12.75" customHeight="1" x14ac:dyDescent="0.2">
      <c r="A948" s="53"/>
      <c r="C948" s="53"/>
      <c r="D948" s="53"/>
      <c r="E948" s="53"/>
    </row>
    <row r="949" spans="1:5" ht="12.75" customHeight="1" x14ac:dyDescent="0.2">
      <c r="A949" s="53"/>
      <c r="C949" s="53"/>
      <c r="D949" s="53"/>
      <c r="E949" s="53"/>
    </row>
    <row r="950" spans="1:5" ht="12.75" customHeight="1" x14ac:dyDescent="0.2">
      <c r="A950" s="53"/>
      <c r="C950" s="53"/>
      <c r="D950" s="53"/>
      <c r="E950" s="53"/>
    </row>
    <row r="951" spans="1:5" ht="12.75" customHeight="1" x14ac:dyDescent="0.2">
      <c r="A951" s="53"/>
      <c r="C951" s="53"/>
      <c r="D951" s="53"/>
      <c r="E951" s="53"/>
    </row>
    <row r="952" spans="1:5" ht="12.75" customHeight="1" x14ac:dyDescent="0.2">
      <c r="A952" s="53"/>
      <c r="C952" s="53"/>
      <c r="D952" s="53"/>
      <c r="E952" s="53"/>
    </row>
    <row r="953" spans="1:5" ht="12.75" customHeight="1" x14ac:dyDescent="0.2">
      <c r="A953" s="53"/>
      <c r="C953" s="53"/>
      <c r="D953" s="53"/>
      <c r="E953" s="53"/>
    </row>
    <row r="954" spans="1:5" ht="12.75" customHeight="1" x14ac:dyDescent="0.2">
      <c r="A954" s="53"/>
      <c r="C954" s="53"/>
      <c r="D954" s="53"/>
      <c r="E954" s="53"/>
    </row>
    <row r="955" spans="1:5" ht="12.75" customHeight="1" x14ac:dyDescent="0.2">
      <c r="A955" s="53"/>
      <c r="C955" s="53"/>
      <c r="D955" s="53"/>
      <c r="E955" s="53"/>
    </row>
    <row r="956" spans="1:5" ht="12.75" customHeight="1" x14ac:dyDescent="0.2">
      <c r="A956" s="53"/>
      <c r="C956" s="53"/>
      <c r="D956" s="53"/>
      <c r="E956" s="53"/>
    </row>
    <row r="957" spans="1:5" ht="12.75" customHeight="1" x14ac:dyDescent="0.2">
      <c r="A957" s="53"/>
      <c r="C957" s="53"/>
      <c r="D957" s="53"/>
      <c r="E957" s="53"/>
    </row>
    <row r="958" spans="1:5" ht="12.75" customHeight="1" x14ac:dyDescent="0.2">
      <c r="A958" s="53"/>
      <c r="C958" s="53"/>
      <c r="D958" s="53"/>
      <c r="E958" s="53"/>
    </row>
    <row r="959" spans="1:5" ht="12.75" customHeight="1" x14ac:dyDescent="0.2">
      <c r="A959" s="53"/>
      <c r="C959" s="53"/>
      <c r="D959" s="53"/>
      <c r="E959" s="53"/>
    </row>
    <row r="960" spans="1:5" ht="12.75" customHeight="1" x14ac:dyDescent="0.2">
      <c r="A960" s="53"/>
      <c r="C960" s="53"/>
      <c r="D960" s="53"/>
      <c r="E960" s="53"/>
    </row>
    <row r="961" spans="1:5" ht="12.75" customHeight="1" x14ac:dyDescent="0.2">
      <c r="A961" s="53"/>
      <c r="C961" s="53"/>
      <c r="D961" s="53"/>
      <c r="E961" s="53"/>
    </row>
    <row r="962" spans="1:5" ht="12.75" customHeight="1" x14ac:dyDescent="0.2">
      <c r="A962" s="53"/>
      <c r="C962" s="53"/>
      <c r="D962" s="53"/>
      <c r="E962" s="53"/>
    </row>
    <row r="963" spans="1:5" ht="12.75" customHeight="1" x14ac:dyDescent="0.2">
      <c r="A963" s="53"/>
      <c r="C963" s="53"/>
      <c r="D963" s="53"/>
      <c r="E963" s="53"/>
    </row>
    <row r="964" spans="1:5" ht="12.75" customHeight="1" x14ac:dyDescent="0.2">
      <c r="A964" s="53"/>
      <c r="C964" s="53"/>
      <c r="D964" s="53"/>
      <c r="E964" s="53"/>
    </row>
    <row r="965" spans="1:5" ht="12.75" customHeight="1" x14ac:dyDescent="0.2">
      <c r="A965" s="53"/>
      <c r="C965" s="53"/>
      <c r="D965" s="53"/>
      <c r="E965" s="53"/>
    </row>
    <row r="966" spans="1:5" ht="12.75" customHeight="1" x14ac:dyDescent="0.2">
      <c r="A966" s="53"/>
      <c r="C966" s="53"/>
      <c r="D966" s="53"/>
      <c r="E966" s="53"/>
    </row>
    <row r="967" spans="1:5" ht="12.75" customHeight="1" x14ac:dyDescent="0.2">
      <c r="A967" s="53"/>
      <c r="C967" s="53"/>
      <c r="D967" s="53"/>
      <c r="E967" s="53"/>
    </row>
    <row r="968" spans="1:5" ht="12.75" customHeight="1" x14ac:dyDescent="0.2">
      <c r="A968" s="53"/>
      <c r="C968" s="53"/>
      <c r="D968" s="53"/>
      <c r="E968" s="53"/>
    </row>
    <row r="969" spans="1:5" ht="12.75" customHeight="1" x14ac:dyDescent="0.2">
      <c r="A969" s="53"/>
      <c r="C969" s="53"/>
      <c r="D969" s="53"/>
      <c r="E969" s="53"/>
    </row>
    <row r="970" spans="1:5" ht="12.75" customHeight="1" x14ac:dyDescent="0.2">
      <c r="A970" s="53"/>
      <c r="C970" s="53"/>
      <c r="D970" s="53"/>
      <c r="E970" s="53"/>
    </row>
    <row r="971" spans="1:5" ht="12.75" customHeight="1" x14ac:dyDescent="0.2">
      <c r="A971" s="53"/>
      <c r="C971" s="53"/>
      <c r="D971" s="53"/>
      <c r="E971" s="53"/>
    </row>
    <row r="972" spans="1:5" ht="12.75" customHeight="1" x14ac:dyDescent="0.2">
      <c r="A972" s="53"/>
      <c r="C972" s="53"/>
      <c r="D972" s="53"/>
      <c r="E972" s="53"/>
    </row>
    <row r="973" spans="1:5" ht="12.75" customHeight="1" x14ac:dyDescent="0.2">
      <c r="A973" s="53"/>
      <c r="C973" s="53"/>
      <c r="D973" s="53"/>
      <c r="E973" s="53"/>
    </row>
    <row r="974" spans="1:5" ht="12.75" customHeight="1" x14ac:dyDescent="0.2">
      <c r="A974" s="53"/>
      <c r="C974" s="53"/>
      <c r="D974" s="53"/>
      <c r="E974" s="53"/>
    </row>
    <row r="975" spans="1:5" ht="12.75" customHeight="1" x14ac:dyDescent="0.2">
      <c r="A975" s="53"/>
      <c r="C975" s="53"/>
      <c r="D975" s="53"/>
      <c r="E975" s="53"/>
    </row>
    <row r="976" spans="1:5" ht="12.75" customHeight="1" x14ac:dyDescent="0.2">
      <c r="A976" s="53"/>
      <c r="C976" s="53"/>
      <c r="D976" s="53"/>
      <c r="E976" s="53"/>
    </row>
    <row r="977" spans="1:5" ht="12.75" customHeight="1" x14ac:dyDescent="0.2">
      <c r="A977" s="53"/>
      <c r="C977" s="53"/>
      <c r="D977" s="53"/>
      <c r="E977" s="53"/>
    </row>
    <row r="978" spans="1:5" ht="12.75" customHeight="1" x14ac:dyDescent="0.2">
      <c r="A978" s="53"/>
      <c r="C978" s="53"/>
      <c r="D978" s="53"/>
      <c r="E978" s="53"/>
    </row>
    <row r="979" spans="1:5" ht="12.75" customHeight="1" x14ac:dyDescent="0.2">
      <c r="A979" s="53"/>
      <c r="C979" s="53"/>
      <c r="D979" s="53"/>
      <c r="E979" s="53"/>
    </row>
    <row r="980" spans="1:5" ht="12.75" customHeight="1" x14ac:dyDescent="0.2">
      <c r="A980" s="53"/>
      <c r="C980" s="53"/>
      <c r="D980" s="53"/>
      <c r="E980" s="53"/>
    </row>
    <row r="981" spans="1:5" ht="12.75" customHeight="1" x14ac:dyDescent="0.2">
      <c r="A981" s="53"/>
      <c r="C981" s="53"/>
      <c r="D981" s="53"/>
      <c r="E981" s="53"/>
    </row>
    <row r="982" spans="1:5" ht="12.75" customHeight="1" x14ac:dyDescent="0.2">
      <c r="A982" s="53"/>
      <c r="C982" s="53"/>
      <c r="D982" s="53"/>
      <c r="E982" s="53"/>
    </row>
    <row r="983" spans="1:5" ht="12.75" customHeight="1" x14ac:dyDescent="0.2">
      <c r="A983" s="53"/>
      <c r="C983" s="53"/>
      <c r="D983" s="53"/>
      <c r="E983" s="53"/>
    </row>
    <row r="984" spans="1:5" ht="12.75" customHeight="1" x14ac:dyDescent="0.2">
      <c r="A984" s="53"/>
      <c r="C984" s="53"/>
      <c r="D984" s="53"/>
      <c r="E984" s="53"/>
    </row>
    <row r="985" spans="1:5" ht="12.75" customHeight="1" x14ac:dyDescent="0.2">
      <c r="A985" s="53"/>
      <c r="C985" s="53"/>
      <c r="D985" s="53"/>
      <c r="E985" s="53"/>
    </row>
    <row r="986" spans="1:5" ht="12.75" customHeight="1" x14ac:dyDescent="0.2">
      <c r="A986" s="53"/>
      <c r="C986" s="53"/>
      <c r="D986" s="53"/>
      <c r="E986" s="53"/>
    </row>
    <row r="987" spans="1:5" ht="12.75" customHeight="1" x14ac:dyDescent="0.2">
      <c r="A987" s="53"/>
      <c r="C987" s="53"/>
      <c r="D987" s="53"/>
      <c r="E987" s="53"/>
    </row>
    <row r="988" spans="1:5" ht="12.75" customHeight="1" x14ac:dyDescent="0.2">
      <c r="A988" s="53"/>
      <c r="C988" s="53"/>
      <c r="D988" s="53"/>
      <c r="E988" s="53"/>
    </row>
    <row r="989" spans="1:5" ht="12.75" customHeight="1" x14ac:dyDescent="0.2">
      <c r="A989" s="53"/>
      <c r="C989" s="53"/>
      <c r="D989" s="53"/>
      <c r="E989" s="53"/>
    </row>
    <row r="990" spans="1:5" ht="12.75" customHeight="1" x14ac:dyDescent="0.2">
      <c r="A990" s="53"/>
      <c r="C990" s="53"/>
      <c r="D990" s="53"/>
      <c r="E990" s="53"/>
    </row>
    <row r="991" spans="1:5" ht="12.75" customHeight="1" x14ac:dyDescent="0.2">
      <c r="A991" s="53"/>
      <c r="C991" s="53"/>
      <c r="D991" s="53"/>
      <c r="E991" s="53"/>
    </row>
    <row r="992" spans="1:5" ht="12.75" customHeight="1" x14ac:dyDescent="0.2">
      <c r="A992" s="53"/>
      <c r="C992" s="53"/>
      <c r="D992" s="53"/>
      <c r="E992" s="53"/>
    </row>
    <row r="993" spans="1:5" ht="12.75" customHeight="1" x14ac:dyDescent="0.2">
      <c r="A993" s="53"/>
      <c r="C993" s="53"/>
      <c r="D993" s="53"/>
      <c r="E993" s="53"/>
    </row>
    <row r="994" spans="1:5" ht="12.75" customHeight="1" x14ac:dyDescent="0.2">
      <c r="A994" s="53"/>
      <c r="C994" s="53"/>
      <c r="D994" s="53"/>
      <c r="E994" s="53"/>
    </row>
    <row r="995" spans="1:5" ht="12.75" customHeight="1" x14ac:dyDescent="0.2">
      <c r="A995" s="53"/>
      <c r="C995" s="53"/>
      <c r="D995" s="53"/>
      <c r="E995" s="53"/>
    </row>
    <row r="996" spans="1:5" ht="12.75" customHeight="1" x14ac:dyDescent="0.2">
      <c r="A996" s="53"/>
      <c r="C996" s="53"/>
      <c r="D996" s="53"/>
      <c r="E996" s="53"/>
    </row>
    <row r="997" spans="1:5" ht="12.75" customHeight="1" x14ac:dyDescent="0.2">
      <c r="A997" s="53"/>
      <c r="C997" s="53"/>
      <c r="D997" s="53"/>
      <c r="E997" s="53"/>
    </row>
    <row r="998" spans="1:5" ht="12.75" customHeight="1" x14ac:dyDescent="0.2">
      <c r="A998" s="53"/>
      <c r="C998" s="53"/>
      <c r="D998" s="53"/>
      <c r="E998" s="53"/>
    </row>
    <row r="999" spans="1:5" ht="12.75" customHeight="1" x14ac:dyDescent="0.2">
      <c r="A999" s="53"/>
      <c r="C999" s="53"/>
      <c r="D999" s="53"/>
      <c r="E999" s="53"/>
    </row>
    <row r="1000" spans="1:5" ht="12.75" customHeight="1" x14ac:dyDescent="0.2">
      <c r="A1000" s="53"/>
      <c r="C1000" s="53"/>
      <c r="D1000" s="53"/>
      <c r="E1000" s="53"/>
    </row>
  </sheetData>
  <mergeCells count="1">
    <mergeCell ref="A3:E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89"/>
  <sheetViews>
    <sheetView showGridLines="0" zoomScaleNormal="100" workbookViewId="0">
      <selection activeCell="D2" sqref="D2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11" width="13.7109375" style="118" customWidth="1"/>
    <col min="12" max="12" width="27.85546875" style="118" bestFit="1" customWidth="1"/>
    <col min="13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175" t="s">
        <v>0</v>
      </c>
      <c r="B1" s="176"/>
      <c r="C1" s="175" t="s">
        <v>1</v>
      </c>
      <c r="D1" s="177">
        <v>42787</v>
      </c>
      <c r="E1" s="175" t="s">
        <v>2</v>
      </c>
      <c r="F1" s="176"/>
      <c r="G1" s="176"/>
      <c r="H1" s="176"/>
      <c r="I1" s="176"/>
      <c r="J1" s="176"/>
      <c r="K1" s="116"/>
      <c r="L1" s="180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119"/>
      <c r="B2" s="120" t="s">
        <v>3</v>
      </c>
      <c r="C2" s="121" t="s">
        <v>4</v>
      </c>
      <c r="D2" s="122"/>
      <c r="E2" s="120" t="s">
        <v>5</v>
      </c>
      <c r="F2" s="122"/>
      <c r="G2" s="120" t="s">
        <v>6</v>
      </c>
      <c r="H2" s="120" t="s">
        <v>7</v>
      </c>
      <c r="I2" s="121" t="s">
        <v>8</v>
      </c>
      <c r="J2" s="120" t="s">
        <v>9</v>
      </c>
      <c r="K2" s="123"/>
      <c r="L2" s="181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126" t="s">
        <v>10</v>
      </c>
      <c r="B3" s="182"/>
      <c r="C3" s="183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126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126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126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126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126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137" t="s">
        <v>16</v>
      </c>
      <c r="B9" s="186">
        <f t="shared" ref="B9:C9" si="0">SUM(B3:B8)</f>
        <v>0</v>
      </c>
      <c r="C9" s="186">
        <f t="shared" si="0"/>
        <v>0</v>
      </c>
      <c r="D9" s="188"/>
      <c r="E9" s="186">
        <f>SUM(E3:E8)</f>
        <v>0</v>
      </c>
      <c r="F9" s="188"/>
      <c r="G9" s="186">
        <f t="shared" ref="G9:I9" si="1">SUM(G3:G8)</f>
        <v>0</v>
      </c>
      <c r="H9" s="186">
        <f t="shared" si="1"/>
        <v>0</v>
      </c>
      <c r="I9" s="186">
        <f t="shared" si="1"/>
        <v>0</v>
      </c>
      <c r="J9" s="186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126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126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126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126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137" t="s">
        <v>21</v>
      </c>
      <c r="B14" s="186">
        <f t="shared" ref="B14:C14" si="3">SUM(B10:B13)</f>
        <v>0</v>
      </c>
      <c r="C14" s="186">
        <f t="shared" si="3"/>
        <v>0</v>
      </c>
      <c r="D14" s="188"/>
      <c r="E14" s="186">
        <f>SUM(E10:E13)</f>
        <v>0</v>
      </c>
      <c r="F14" s="188"/>
      <c r="G14" s="186">
        <f t="shared" ref="G14:I14" si="4">SUM(G10:G13)</f>
        <v>0</v>
      </c>
      <c r="H14" s="186">
        <f t="shared" si="4"/>
        <v>0</v>
      </c>
      <c r="I14" s="186">
        <f t="shared" si="4"/>
        <v>0</v>
      </c>
      <c r="J14" s="186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137" t="s">
        <v>16</v>
      </c>
      <c r="B15" s="186">
        <f t="shared" ref="B15:C15" si="5">SUM(B14,B9)</f>
        <v>0</v>
      </c>
      <c r="C15" s="186">
        <f t="shared" si="5"/>
        <v>0</v>
      </c>
      <c r="D15" s="188"/>
      <c r="E15" s="186">
        <f>SUM(E14,E9)</f>
        <v>0</v>
      </c>
      <c r="F15" s="188"/>
      <c r="G15" s="186">
        <f t="shared" ref="G15:I15" si="6">SUM(G14,G9)</f>
        <v>0</v>
      </c>
      <c r="H15" s="186">
        <f t="shared" si="6"/>
        <v>0</v>
      </c>
      <c r="I15" s="186">
        <f t="shared" si="6"/>
        <v>0</v>
      </c>
      <c r="J15" s="186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126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126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126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137" t="s">
        <v>16</v>
      </c>
      <c r="B19" s="186">
        <f t="shared" ref="B19:C19" si="7">SUM(B16:B18)</f>
        <v>0</v>
      </c>
      <c r="C19" s="186">
        <f t="shared" si="7"/>
        <v>0</v>
      </c>
      <c r="D19" s="188"/>
      <c r="E19" s="186">
        <f>SUM(E16:E18)</f>
        <v>0</v>
      </c>
      <c r="F19" s="188"/>
      <c r="G19" s="186">
        <f t="shared" ref="G19:I19" si="8">SUM(G16:G18)</f>
        <v>0</v>
      </c>
      <c r="H19" s="186">
        <f t="shared" si="8"/>
        <v>0</v>
      </c>
      <c r="I19" s="186">
        <f t="shared" si="8"/>
        <v>0</v>
      </c>
      <c r="J19" s="186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137" t="s">
        <v>25</v>
      </c>
      <c r="B20" s="186">
        <f t="shared" ref="B20:C20" si="9">SUM(B15,B19)</f>
        <v>0</v>
      </c>
      <c r="C20" s="186">
        <f t="shared" si="9"/>
        <v>0</v>
      </c>
      <c r="D20" s="188"/>
      <c r="E20" s="186">
        <f>SUM(E15,E19)</f>
        <v>0</v>
      </c>
      <c r="F20" s="188"/>
      <c r="G20" s="186">
        <f t="shared" ref="G20:I20" si="10">SUM(G15,G19)</f>
        <v>0</v>
      </c>
      <c r="H20" s="186">
        <f t="shared" si="10"/>
        <v>0</v>
      </c>
      <c r="I20" s="186">
        <f t="shared" si="10"/>
        <v>0</v>
      </c>
      <c r="J20" s="186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126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126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126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126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126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126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137" t="s">
        <v>16</v>
      </c>
      <c r="B27" s="186">
        <f t="shared" ref="B27:C27" si="11">SUM(B21:B26)</f>
        <v>0</v>
      </c>
      <c r="C27" s="186">
        <f t="shared" si="11"/>
        <v>0</v>
      </c>
      <c r="D27" s="188"/>
      <c r="E27" s="186">
        <f>SUM(E21:E26)</f>
        <v>0</v>
      </c>
      <c r="F27" s="188"/>
      <c r="G27" s="186">
        <f t="shared" ref="G27:I27" si="12">SUM(G21:G26)</f>
        <v>0</v>
      </c>
      <c r="H27" s="186">
        <f t="shared" si="12"/>
        <v>0</v>
      </c>
      <c r="I27" s="186">
        <f t="shared" si="12"/>
        <v>0</v>
      </c>
      <c r="J27" s="186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137" t="s">
        <v>32</v>
      </c>
      <c r="B28" s="186">
        <f t="shared" ref="B28:C28" si="13">SUM(B20,B27)</f>
        <v>0</v>
      </c>
      <c r="C28" s="186">
        <f t="shared" si="13"/>
        <v>0</v>
      </c>
      <c r="D28" s="188"/>
      <c r="E28" s="186">
        <f>SUM(E20,E27)</f>
        <v>0</v>
      </c>
      <c r="F28" s="188"/>
      <c r="G28" s="186">
        <f t="shared" ref="G28:I28" si="14">SUM(G20,G27)</f>
        <v>0</v>
      </c>
      <c r="H28" s="186">
        <f t="shared" si="14"/>
        <v>0</v>
      </c>
      <c r="I28" s="186">
        <f t="shared" si="14"/>
        <v>0</v>
      </c>
      <c r="J28" s="186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126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126" t="s">
        <v>34</v>
      </c>
      <c r="B30" s="184">
        <f t="shared" ref="B30:C30" si="15">+B28-B29</f>
        <v>0</v>
      </c>
      <c r="C30" s="184">
        <f t="shared" si="15"/>
        <v>0</v>
      </c>
      <c r="D30" s="184"/>
      <c r="E30" s="184">
        <f>+E28-E29</f>
        <v>0</v>
      </c>
      <c r="F30" s="184"/>
      <c r="G30" s="184">
        <f t="shared" ref="G30:I30" si="16">+G28-G29</f>
        <v>0</v>
      </c>
      <c r="H30" s="184">
        <f t="shared" si="16"/>
        <v>0</v>
      </c>
      <c r="I30" s="184">
        <f t="shared" si="16"/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126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126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175" t="str">
        <f>A1</f>
        <v>HOTEL: Balaclava (Vic) - 3030</v>
      </c>
      <c r="B33" s="222"/>
      <c r="C33" s="175" t="s">
        <v>1</v>
      </c>
      <c r="D33" s="178">
        <f>D$1</f>
        <v>42787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146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126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126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126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126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126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126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126" t="s">
        <v>49</v>
      </c>
      <c r="B41" s="184"/>
      <c r="C41" s="184"/>
      <c r="D41" s="182"/>
      <c r="E41" s="182"/>
      <c r="F41" s="182"/>
      <c r="G41" s="184"/>
      <c r="H41" s="182"/>
      <c r="I41" s="184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126" t="s">
        <v>50</v>
      </c>
      <c r="B42" s="184"/>
      <c r="C42" s="184"/>
      <c r="D42" s="182"/>
      <c r="E42" s="182"/>
      <c r="F42" s="182"/>
      <c r="G42" s="184"/>
      <c r="H42" s="182"/>
      <c r="I42" s="193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126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3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126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3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137" t="s">
        <v>16</v>
      </c>
      <c r="B45" s="186">
        <f t="shared" ref="B45:F45" si="17">SUM(B35:B44)</f>
        <v>0</v>
      </c>
      <c r="C45" s="186">
        <f t="shared" si="17"/>
        <v>0</v>
      </c>
      <c r="D45" s="186">
        <f t="shared" si="17"/>
        <v>0</v>
      </c>
      <c r="E45" s="186">
        <f t="shared" si="17"/>
        <v>0</v>
      </c>
      <c r="F45" s="186">
        <f t="shared" si="17"/>
        <v>0</v>
      </c>
      <c r="G45" s="188"/>
      <c r="H45" s="186">
        <f>SUM(H35:H44)</f>
        <v>0</v>
      </c>
      <c r="I45" s="194"/>
      <c r="J45" s="186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126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126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126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126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137" t="s">
        <v>21</v>
      </c>
      <c r="B50" s="186">
        <f t="shared" ref="B50:F50" si="19">SUM(B46:B49)</f>
        <v>0</v>
      </c>
      <c r="C50" s="186">
        <f t="shared" si="19"/>
        <v>0</v>
      </c>
      <c r="D50" s="186">
        <f t="shared" si="19"/>
        <v>0</v>
      </c>
      <c r="E50" s="186">
        <f t="shared" si="19"/>
        <v>0</v>
      </c>
      <c r="F50" s="186">
        <f t="shared" si="19"/>
        <v>0</v>
      </c>
      <c r="G50" s="188"/>
      <c r="H50" s="186"/>
      <c r="I50" s="194"/>
      <c r="J50" s="186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137" t="s">
        <v>16</v>
      </c>
      <c r="B51" s="186">
        <f t="shared" ref="B51:F51" si="20">SUM(B50,B45)</f>
        <v>0</v>
      </c>
      <c r="C51" s="186">
        <f t="shared" si="20"/>
        <v>0</v>
      </c>
      <c r="D51" s="186">
        <f t="shared" si="20"/>
        <v>0</v>
      </c>
      <c r="E51" s="186">
        <f t="shared" si="20"/>
        <v>0</v>
      </c>
      <c r="F51" s="186">
        <f t="shared" si="20"/>
        <v>0</v>
      </c>
      <c r="G51" s="188"/>
      <c r="H51" s="186">
        <f>SUM(H50,H45)</f>
        <v>0</v>
      </c>
      <c r="I51" s="194"/>
      <c r="J51" s="186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126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126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126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137" t="s">
        <v>16</v>
      </c>
      <c r="B55" s="186">
        <f t="shared" ref="B55:F55" si="21">SUM(B52:B54)</f>
        <v>0</v>
      </c>
      <c r="C55" s="186">
        <f t="shared" si="21"/>
        <v>0</v>
      </c>
      <c r="D55" s="186">
        <f t="shared" si="21"/>
        <v>0</v>
      </c>
      <c r="E55" s="186">
        <f t="shared" si="21"/>
        <v>0</v>
      </c>
      <c r="F55" s="186">
        <f t="shared" si="21"/>
        <v>0</v>
      </c>
      <c r="G55" s="188"/>
      <c r="H55" s="186">
        <f>SUM(H52:H54)</f>
        <v>0</v>
      </c>
      <c r="I55" s="194"/>
      <c r="J55" s="186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137" t="s">
        <v>25</v>
      </c>
      <c r="B56" s="186">
        <f t="shared" ref="B56:F56" si="22">SUM(B51,B55)</f>
        <v>0</v>
      </c>
      <c r="C56" s="186">
        <f t="shared" si="22"/>
        <v>0</v>
      </c>
      <c r="D56" s="186">
        <f t="shared" si="22"/>
        <v>0</v>
      </c>
      <c r="E56" s="186">
        <f t="shared" si="22"/>
        <v>0</v>
      </c>
      <c r="F56" s="186">
        <f t="shared" si="22"/>
        <v>0</v>
      </c>
      <c r="G56" s="188"/>
      <c r="H56" s="186">
        <f>SUM(H51,H55)</f>
        <v>0</v>
      </c>
      <c r="I56" s="194"/>
      <c r="J56" s="186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126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126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126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126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126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126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137" t="s">
        <v>16</v>
      </c>
      <c r="B63" s="186">
        <f t="shared" ref="B63:F63" si="23">SUM(B57:B62)</f>
        <v>0</v>
      </c>
      <c r="C63" s="186">
        <f t="shared" si="23"/>
        <v>0</v>
      </c>
      <c r="D63" s="186">
        <f t="shared" si="23"/>
        <v>0</v>
      </c>
      <c r="E63" s="186">
        <f t="shared" si="23"/>
        <v>0</v>
      </c>
      <c r="F63" s="186">
        <f t="shared" si="23"/>
        <v>0</v>
      </c>
      <c r="G63" s="188"/>
      <c r="H63" s="186">
        <f>SUM(H57:H62)</f>
        <v>0</v>
      </c>
      <c r="I63" s="194"/>
      <c r="J63" s="186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137" t="s">
        <v>32</v>
      </c>
      <c r="B64" s="186">
        <f t="shared" ref="B64:F64" si="24">SUM(B56,B63)</f>
        <v>0</v>
      </c>
      <c r="C64" s="186">
        <f t="shared" si="24"/>
        <v>0</v>
      </c>
      <c r="D64" s="186">
        <f t="shared" si="24"/>
        <v>0</v>
      </c>
      <c r="E64" s="186">
        <f t="shared" si="24"/>
        <v>0</v>
      </c>
      <c r="F64" s="186">
        <f t="shared" si="24"/>
        <v>0</v>
      </c>
      <c r="G64" s="188"/>
      <c r="H64" s="186">
        <f>SUM(H56,H63)</f>
        <v>0</v>
      </c>
      <c r="I64" s="194"/>
      <c r="J64" s="186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126" t="s">
        <v>33</v>
      </c>
      <c r="B65" s="184"/>
      <c r="C65" s="184"/>
      <c r="D65" s="184"/>
      <c r="E65" s="184">
        <f t="shared" ref="E65:F65" si="25">E64</f>
        <v>0</v>
      </c>
      <c r="F65" s="184">
        <f t="shared" si="25"/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126" t="s">
        <v>34</v>
      </c>
      <c r="B66" s="184">
        <f t="shared" ref="B66:F66" si="26">+B64-B65</f>
        <v>0</v>
      </c>
      <c r="C66" s="184">
        <f t="shared" si="26"/>
        <v>0</v>
      </c>
      <c r="D66" s="184">
        <f t="shared" si="26"/>
        <v>0</v>
      </c>
      <c r="E66" s="184">
        <f t="shared" si="26"/>
        <v>0</v>
      </c>
      <c r="F66" s="184">
        <f t="shared" si="26"/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126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126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14" t="str">
        <f>A37</f>
        <v>SKIM 3</v>
      </c>
      <c r="B69" s="199"/>
      <c r="C69" s="199" t="s">
        <v>1</v>
      </c>
      <c r="D69" s="200">
        <f>+D33</f>
        <v>42787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153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25">
      <c r="A71" s="159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25">
      <c r="A72" s="159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25">
      <c r="A73" s="159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25">
      <c r="A74" s="159"/>
      <c r="B74" s="204"/>
      <c r="C74" s="205"/>
      <c r="D74" s="116" t="s">
        <v>64</v>
      </c>
      <c r="E74" s="209">
        <f t="shared" ref="E74:E76" si="27"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25">
      <c r="A75" s="159"/>
      <c r="B75" s="204"/>
      <c r="C75" s="205"/>
      <c r="D75" s="116" t="s">
        <v>65</v>
      </c>
      <c r="E75" s="209">
        <f t="shared" si="27"/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25">
      <c r="A76" s="159"/>
      <c r="B76" s="204"/>
      <c r="C76" s="205"/>
      <c r="D76" s="116" t="s">
        <v>66</v>
      </c>
      <c r="E76" s="209">
        <f t="shared" si="27"/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25">
      <c r="A77" s="159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25">
      <c r="A78" s="159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25">
      <c r="A79" s="159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25">
      <c r="A80" s="159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25">
      <c r="A81" s="159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25">
      <c r="A82" s="159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25">
      <c r="A83" s="159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25">
      <c r="A84" s="159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25">
      <c r="A85" s="159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25">
      <c r="A86" s="159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25">
      <c r="A87" s="159"/>
      <c r="B87" s="172"/>
      <c r="C87" s="161"/>
      <c r="D87" s="158"/>
      <c r="E87" s="158"/>
      <c r="F87" s="158"/>
      <c r="G87" s="158"/>
      <c r="H87" s="158"/>
      <c r="I87" s="158"/>
      <c r="J87" s="158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25">
      <c r="A88" s="159"/>
      <c r="B88" s="172"/>
      <c r="C88" s="161"/>
      <c r="D88" s="158"/>
      <c r="E88" s="158"/>
      <c r="F88" s="158"/>
      <c r="G88" s="158"/>
      <c r="H88" s="158"/>
      <c r="I88" s="158"/>
      <c r="J88" s="158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25">
      <c r="A89" s="173"/>
      <c r="B89" s="158"/>
      <c r="C89" s="158"/>
      <c r="D89" s="158"/>
      <c r="E89" s="158"/>
      <c r="F89" s="158"/>
      <c r="G89" s="158"/>
      <c r="H89" s="158"/>
      <c r="I89" s="158"/>
      <c r="J89" s="158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175" t="s">
        <v>0</v>
      </c>
      <c r="B1" s="176"/>
      <c r="C1" s="175" t="s">
        <v>1</v>
      </c>
      <c r="D1" s="177">
        <v>42787</v>
      </c>
      <c r="E1" s="175" t="s">
        <v>2</v>
      </c>
      <c r="F1" s="176"/>
      <c r="G1" s="176"/>
      <c r="H1" s="176"/>
      <c r="I1" s="176"/>
      <c r="J1" s="17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119"/>
      <c r="B2" s="120" t="s">
        <v>3</v>
      </c>
      <c r="C2" s="121" t="s">
        <v>4</v>
      </c>
      <c r="D2" s="122"/>
      <c r="E2" s="120" t="s">
        <v>5</v>
      </c>
      <c r="F2" s="122"/>
      <c r="G2" s="120" t="s">
        <v>6</v>
      </c>
      <c r="H2" s="120" t="s">
        <v>7</v>
      </c>
      <c r="I2" s="121" t="s">
        <v>8</v>
      </c>
      <c r="J2" s="12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126" t="s">
        <v>10</v>
      </c>
      <c r="B3" s="127"/>
      <c r="C3" s="128"/>
      <c r="D3" s="128"/>
      <c r="E3" s="129"/>
      <c r="F3" s="128"/>
      <c r="G3" s="130"/>
      <c r="H3" s="130"/>
      <c r="I3" s="128"/>
      <c r="J3" s="131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126" t="s">
        <v>11</v>
      </c>
      <c r="B4" s="133"/>
      <c r="C4" s="134"/>
      <c r="D4" s="134"/>
      <c r="E4" s="129"/>
      <c r="F4" s="134"/>
      <c r="G4" s="135"/>
      <c r="H4" s="135"/>
      <c r="I4" s="134"/>
      <c r="J4" s="13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126" t="s">
        <v>12</v>
      </c>
      <c r="B5" s="133"/>
      <c r="C5" s="134"/>
      <c r="D5" s="134"/>
      <c r="E5" s="129"/>
      <c r="F5" s="134"/>
      <c r="G5" s="135"/>
      <c r="H5" s="135"/>
      <c r="I5" s="134"/>
      <c r="J5" s="13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126" t="s">
        <v>13</v>
      </c>
      <c r="B6" s="133"/>
      <c r="C6" s="134"/>
      <c r="D6" s="134"/>
      <c r="E6" s="129"/>
      <c r="F6" s="134"/>
      <c r="G6" s="135"/>
      <c r="H6" s="135"/>
      <c r="I6" s="134"/>
      <c r="J6" s="13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126" t="s">
        <v>14</v>
      </c>
      <c r="B7" s="133"/>
      <c r="C7" s="134"/>
      <c r="D7" s="134"/>
      <c r="E7" s="129"/>
      <c r="F7" s="134"/>
      <c r="G7" s="135"/>
      <c r="H7" s="135"/>
      <c r="I7" s="134"/>
      <c r="J7" s="13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126" t="s">
        <v>15</v>
      </c>
      <c r="B8" s="133"/>
      <c r="C8" s="134"/>
      <c r="D8" s="134"/>
      <c r="E8" s="135"/>
      <c r="F8" s="134"/>
      <c r="G8" s="135"/>
      <c r="H8" s="135"/>
      <c r="I8" s="134"/>
      <c r="J8" s="13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137" t="s">
        <v>16</v>
      </c>
      <c r="B9" s="138">
        <f t="shared" ref="B9:C9" si="0">SUM(B3:B8)</f>
        <v>0</v>
      </c>
      <c r="C9" s="139">
        <f t="shared" si="0"/>
        <v>0</v>
      </c>
      <c r="D9" s="134"/>
      <c r="E9" s="139">
        <f>SUM(E3:E8)</f>
        <v>0</v>
      </c>
      <c r="F9" s="134"/>
      <c r="G9" s="139">
        <f t="shared" ref="G9:I9" si="1">SUM(G3:G8)</f>
        <v>0</v>
      </c>
      <c r="H9" s="139">
        <f t="shared" si="1"/>
        <v>0</v>
      </c>
      <c r="I9" s="139">
        <f t="shared" si="1"/>
        <v>0</v>
      </c>
      <c r="J9" s="139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126" t="s">
        <v>17</v>
      </c>
      <c r="B10" s="133"/>
      <c r="C10" s="134"/>
      <c r="D10" s="134"/>
      <c r="E10" s="129"/>
      <c r="F10" s="134"/>
      <c r="G10" s="135"/>
      <c r="H10" s="135"/>
      <c r="I10" s="134"/>
      <c r="J10" s="139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126" t="s">
        <v>18</v>
      </c>
      <c r="B11" s="133"/>
      <c r="C11" s="134"/>
      <c r="D11" s="134"/>
      <c r="E11" s="129"/>
      <c r="F11" s="134"/>
      <c r="G11" s="135"/>
      <c r="H11" s="135"/>
      <c r="I11" s="134"/>
      <c r="J11" s="139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126" t="s">
        <v>19</v>
      </c>
      <c r="B12" s="133"/>
      <c r="C12" s="134"/>
      <c r="D12" s="134"/>
      <c r="E12" s="129"/>
      <c r="F12" s="134"/>
      <c r="G12" s="135"/>
      <c r="H12" s="135"/>
      <c r="I12" s="134"/>
      <c r="J12" s="139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126" t="s">
        <v>20</v>
      </c>
      <c r="B13" s="133"/>
      <c r="C13" s="134"/>
      <c r="D13" s="134"/>
      <c r="E13" s="129"/>
      <c r="F13" s="134"/>
      <c r="G13" s="135"/>
      <c r="H13" s="135"/>
      <c r="I13" s="134"/>
      <c r="J13" s="139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137" t="s">
        <v>21</v>
      </c>
      <c r="B14" s="138">
        <f t="shared" ref="B14:C14" si="3">SUM(B10:B13)</f>
        <v>0</v>
      </c>
      <c r="C14" s="139">
        <f t="shared" si="3"/>
        <v>0</v>
      </c>
      <c r="D14" s="134"/>
      <c r="E14" s="139">
        <f>SUM(E10:E13)</f>
        <v>0</v>
      </c>
      <c r="F14" s="134"/>
      <c r="G14" s="139">
        <f t="shared" ref="G14:I14" si="4">SUM(G10:G13)</f>
        <v>0</v>
      </c>
      <c r="H14" s="139">
        <f t="shared" si="4"/>
        <v>0</v>
      </c>
      <c r="I14" s="139">
        <f t="shared" si="4"/>
        <v>0</v>
      </c>
      <c r="J14" s="139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137" t="s">
        <v>16</v>
      </c>
      <c r="B15" s="138">
        <f t="shared" ref="B15:C15" si="5">SUM(B14,B9)</f>
        <v>0</v>
      </c>
      <c r="C15" s="139">
        <f t="shared" si="5"/>
        <v>0</v>
      </c>
      <c r="D15" s="134"/>
      <c r="E15" s="139">
        <f>SUM(E14,E9)</f>
        <v>0</v>
      </c>
      <c r="F15" s="134"/>
      <c r="G15" s="139">
        <f t="shared" ref="G15:I15" si="6">SUM(G14,G9)</f>
        <v>0</v>
      </c>
      <c r="H15" s="139">
        <f t="shared" si="6"/>
        <v>0</v>
      </c>
      <c r="I15" s="139">
        <f t="shared" si="6"/>
        <v>0</v>
      </c>
      <c r="J15" s="139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126" t="s">
        <v>22</v>
      </c>
      <c r="B16" s="133"/>
      <c r="C16" s="134"/>
      <c r="D16" s="134"/>
      <c r="E16" s="135"/>
      <c r="F16" s="134"/>
      <c r="G16" s="135"/>
      <c r="H16" s="135"/>
      <c r="I16" s="134"/>
      <c r="J16" s="139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126" t="s">
        <v>23</v>
      </c>
      <c r="B17" s="133"/>
      <c r="C17" s="134"/>
      <c r="D17" s="134"/>
      <c r="E17" s="135"/>
      <c r="F17" s="134"/>
      <c r="G17" s="135"/>
      <c r="H17" s="135"/>
      <c r="I17" s="134"/>
      <c r="J17" s="139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126" t="s">
        <v>24</v>
      </c>
      <c r="B18" s="133"/>
      <c r="C18" s="134"/>
      <c r="D18" s="134"/>
      <c r="E18" s="135"/>
      <c r="F18" s="134"/>
      <c r="G18" s="135"/>
      <c r="H18" s="135"/>
      <c r="I18" s="134"/>
      <c r="J18" s="139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137" t="s">
        <v>16</v>
      </c>
      <c r="B19" s="138">
        <f t="shared" ref="B19:C19" si="7">SUM(B16:B18)</f>
        <v>0</v>
      </c>
      <c r="C19" s="139">
        <f t="shared" si="7"/>
        <v>0</v>
      </c>
      <c r="D19" s="134"/>
      <c r="E19" s="139">
        <f>SUM(E16:E18)</f>
        <v>0</v>
      </c>
      <c r="F19" s="134"/>
      <c r="G19" s="139">
        <f t="shared" ref="G19:I19" si="8">SUM(G16:G18)</f>
        <v>0</v>
      </c>
      <c r="H19" s="139">
        <f t="shared" si="8"/>
        <v>0</v>
      </c>
      <c r="I19" s="139">
        <f t="shared" si="8"/>
        <v>0</v>
      </c>
      <c r="J19" s="139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137" t="s">
        <v>25</v>
      </c>
      <c r="B20" s="138">
        <f t="shared" ref="B20:C20" si="9">SUM(B15,B19)</f>
        <v>0</v>
      </c>
      <c r="C20" s="139">
        <f t="shared" si="9"/>
        <v>0</v>
      </c>
      <c r="D20" s="134"/>
      <c r="E20" s="139">
        <f>SUM(E15,E19)</f>
        <v>0</v>
      </c>
      <c r="F20" s="134"/>
      <c r="G20" s="139">
        <f t="shared" ref="G20:I20" si="10">SUM(G15,G19)</f>
        <v>0</v>
      </c>
      <c r="H20" s="139">
        <f t="shared" si="10"/>
        <v>0</v>
      </c>
      <c r="I20" s="139">
        <f t="shared" si="10"/>
        <v>0</v>
      </c>
      <c r="J20" s="139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126" t="s">
        <v>26</v>
      </c>
      <c r="B21" s="133"/>
      <c r="C21" s="134"/>
      <c r="D21" s="134"/>
      <c r="E21" s="135"/>
      <c r="F21" s="134"/>
      <c r="G21" s="135"/>
      <c r="H21" s="135"/>
      <c r="I21" s="134"/>
      <c r="J21" s="139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126" t="s">
        <v>27</v>
      </c>
      <c r="B22" s="133"/>
      <c r="C22" s="134"/>
      <c r="D22" s="134"/>
      <c r="E22" s="135"/>
      <c r="F22" s="134"/>
      <c r="G22" s="135"/>
      <c r="H22" s="135"/>
      <c r="I22" s="134"/>
      <c r="J22" s="139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126" t="s">
        <v>28</v>
      </c>
      <c r="B23" s="133"/>
      <c r="C23" s="134"/>
      <c r="D23" s="134"/>
      <c r="E23" s="135"/>
      <c r="F23" s="134"/>
      <c r="G23" s="135"/>
      <c r="H23" s="135"/>
      <c r="I23" s="134"/>
      <c r="J23" s="139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126" t="s">
        <v>29</v>
      </c>
      <c r="B24" s="133"/>
      <c r="C24" s="134"/>
      <c r="D24" s="134"/>
      <c r="E24" s="135"/>
      <c r="F24" s="134"/>
      <c r="G24" s="135"/>
      <c r="H24" s="135"/>
      <c r="I24" s="134"/>
      <c r="J24" s="139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126" t="s">
        <v>30</v>
      </c>
      <c r="B25" s="133"/>
      <c r="C25" s="134"/>
      <c r="D25" s="134"/>
      <c r="E25" s="135"/>
      <c r="F25" s="134"/>
      <c r="G25" s="135"/>
      <c r="H25" s="135"/>
      <c r="I25" s="134"/>
      <c r="J25" s="139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126" t="s">
        <v>31</v>
      </c>
      <c r="B26" s="133"/>
      <c r="C26" s="134"/>
      <c r="D26" s="134"/>
      <c r="E26" s="135"/>
      <c r="F26" s="134"/>
      <c r="G26" s="135"/>
      <c r="H26" s="135"/>
      <c r="I26" s="134"/>
      <c r="J26" s="139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137" t="s">
        <v>16</v>
      </c>
      <c r="B27" s="138">
        <f t="shared" ref="B27:C27" si="11">SUM(B21:B26)</f>
        <v>0</v>
      </c>
      <c r="C27" s="139">
        <f t="shared" si="11"/>
        <v>0</v>
      </c>
      <c r="D27" s="134"/>
      <c r="E27" s="139">
        <f>SUM(E21:E26)</f>
        <v>0</v>
      </c>
      <c r="F27" s="134"/>
      <c r="G27" s="139">
        <f t="shared" ref="G27:I27" si="12">SUM(G21:G26)</f>
        <v>0</v>
      </c>
      <c r="H27" s="139">
        <f t="shared" si="12"/>
        <v>0</v>
      </c>
      <c r="I27" s="139">
        <f t="shared" si="12"/>
        <v>0</v>
      </c>
      <c r="J27" s="139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137" t="s">
        <v>32</v>
      </c>
      <c r="B28" s="138">
        <f t="shared" ref="B28:C28" si="13">SUM(B20,B27)</f>
        <v>0</v>
      </c>
      <c r="C28" s="139">
        <f t="shared" si="13"/>
        <v>0</v>
      </c>
      <c r="D28" s="134"/>
      <c r="E28" s="139">
        <f>SUM(E20,E27)</f>
        <v>0</v>
      </c>
      <c r="F28" s="134"/>
      <c r="G28" s="139">
        <f t="shared" ref="G28:I28" si="14">SUM(G20,G27)</f>
        <v>0</v>
      </c>
      <c r="H28" s="139">
        <f t="shared" si="14"/>
        <v>0</v>
      </c>
      <c r="I28" s="139">
        <f t="shared" si="14"/>
        <v>0</v>
      </c>
      <c r="J28" s="139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126" t="s">
        <v>33</v>
      </c>
      <c r="B29" s="143"/>
      <c r="C29" s="134"/>
      <c r="D29" s="134"/>
      <c r="E29" s="134"/>
      <c r="F29" s="134"/>
      <c r="G29" s="134"/>
      <c r="H29" s="134"/>
      <c r="I29" s="134"/>
      <c r="J29" s="13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126" t="s">
        <v>34</v>
      </c>
      <c r="B30" s="144">
        <f t="shared" ref="B30:C30" si="15">+B28-B29</f>
        <v>0</v>
      </c>
      <c r="C30" s="145">
        <f t="shared" si="15"/>
        <v>0</v>
      </c>
      <c r="D30" s="134"/>
      <c r="E30" s="145">
        <f>+E28-E29</f>
        <v>0</v>
      </c>
      <c r="F30" s="134"/>
      <c r="G30" s="145">
        <f t="shared" ref="G30:I30" si="16">+G28-G29</f>
        <v>0</v>
      </c>
      <c r="H30" s="145">
        <f t="shared" si="16"/>
        <v>0</v>
      </c>
      <c r="I30" s="145">
        <f t="shared" si="16"/>
        <v>0</v>
      </c>
      <c r="J30" s="139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126" t="s">
        <v>35</v>
      </c>
      <c r="B31" s="133"/>
      <c r="C31" s="135"/>
      <c r="D31" s="135"/>
      <c r="E31" s="135"/>
      <c r="F31" s="135"/>
      <c r="G31" s="135"/>
      <c r="H31" s="135"/>
      <c r="I31" s="135"/>
      <c r="J31" s="13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126" t="s">
        <v>35</v>
      </c>
      <c r="B32" s="133"/>
      <c r="C32" s="135"/>
      <c r="D32" s="135"/>
      <c r="E32" s="135"/>
      <c r="F32" s="135"/>
      <c r="G32" s="135"/>
      <c r="H32" s="135"/>
      <c r="I32" s="135"/>
      <c r="J32" s="13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175" t="str">
        <f>A1</f>
        <v>HOTEL: Balaclava (Vic) - 3030</v>
      </c>
      <c r="B33" s="176"/>
      <c r="C33" s="175" t="s">
        <v>1</v>
      </c>
      <c r="D33" s="178">
        <f>D$1</f>
        <v>42787</v>
      </c>
      <c r="E33" s="175" t="s">
        <v>2</v>
      </c>
      <c r="F33" s="176"/>
      <c r="G33" s="176"/>
      <c r="H33" s="176"/>
      <c r="I33" s="176"/>
      <c r="J33" s="17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146"/>
      <c r="B34" s="147" t="s">
        <v>36</v>
      </c>
      <c r="C34" s="121" t="s">
        <v>37</v>
      </c>
      <c r="D34" s="120" t="s">
        <v>38</v>
      </c>
      <c r="E34" s="120" t="s">
        <v>39</v>
      </c>
      <c r="F34" s="120" t="s">
        <v>40</v>
      </c>
      <c r="G34" s="120" t="s">
        <v>41</v>
      </c>
      <c r="H34" s="120" t="s">
        <v>42</v>
      </c>
      <c r="I34" s="120" t="s">
        <v>43</v>
      </c>
      <c r="J34" s="12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126" t="s">
        <v>10</v>
      </c>
      <c r="B35" s="143"/>
      <c r="C35" s="134"/>
      <c r="D35" s="135"/>
      <c r="E35" s="135"/>
      <c r="F35" s="135"/>
      <c r="G35" s="148" t="s">
        <v>44</v>
      </c>
      <c r="H35" s="135"/>
      <c r="I35" s="149"/>
      <c r="J35" s="13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126" t="s">
        <v>11</v>
      </c>
      <c r="B36" s="143"/>
      <c r="C36" s="134"/>
      <c r="D36" s="135"/>
      <c r="E36" s="135"/>
      <c r="F36" s="135"/>
      <c r="G36" s="150" t="s">
        <v>45</v>
      </c>
      <c r="H36" s="135"/>
      <c r="I36" s="149"/>
      <c r="J36" s="13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126" t="s">
        <v>12</v>
      </c>
      <c r="B37" s="143"/>
      <c r="C37" s="134"/>
      <c r="D37" s="135"/>
      <c r="E37" s="135"/>
      <c r="F37" s="135"/>
      <c r="G37" s="150" t="s">
        <v>46</v>
      </c>
      <c r="H37" s="135"/>
      <c r="I37" s="149"/>
      <c r="J37" s="13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126" t="s">
        <v>13</v>
      </c>
      <c r="B38" s="143"/>
      <c r="C38" s="134"/>
      <c r="D38" s="135"/>
      <c r="E38" s="135"/>
      <c r="F38" s="135"/>
      <c r="G38" s="150" t="s">
        <v>47</v>
      </c>
      <c r="H38" s="135"/>
      <c r="I38" s="149"/>
      <c r="J38" s="13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126" t="s">
        <v>14</v>
      </c>
      <c r="B39" s="143"/>
      <c r="C39" s="134"/>
      <c r="D39" s="135"/>
      <c r="E39" s="135"/>
      <c r="F39" s="135"/>
      <c r="G39" s="150" t="s">
        <v>48</v>
      </c>
      <c r="H39" s="135"/>
      <c r="I39" s="149"/>
      <c r="J39" s="13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126" t="s">
        <v>15</v>
      </c>
      <c r="B40" s="143"/>
      <c r="C40" s="134"/>
      <c r="D40" s="135"/>
      <c r="E40" s="135"/>
      <c r="F40" s="135"/>
      <c r="G40" s="134"/>
      <c r="H40" s="135"/>
      <c r="I40" s="149"/>
      <c r="J40" s="13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126" t="s">
        <v>49</v>
      </c>
      <c r="B41" s="143"/>
      <c r="C41" s="134"/>
      <c r="D41" s="135"/>
      <c r="E41" s="135"/>
      <c r="F41" s="135"/>
      <c r="G41" s="134"/>
      <c r="H41" s="135"/>
      <c r="I41" s="134"/>
      <c r="J41" s="13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126" t="s">
        <v>50</v>
      </c>
      <c r="B42" s="143"/>
      <c r="C42" s="134"/>
      <c r="D42" s="135"/>
      <c r="E42" s="135"/>
      <c r="F42" s="135"/>
      <c r="G42" s="134"/>
      <c r="H42" s="135"/>
      <c r="I42" s="134"/>
      <c r="J42" s="13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126" t="s">
        <v>51</v>
      </c>
      <c r="B43" s="143"/>
      <c r="C43" s="134"/>
      <c r="D43" s="135"/>
      <c r="E43" s="135"/>
      <c r="F43" s="135"/>
      <c r="G43" s="150" t="s">
        <v>52</v>
      </c>
      <c r="H43" s="135"/>
      <c r="I43" s="134"/>
      <c r="J43" s="13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126" t="s">
        <v>53</v>
      </c>
      <c r="B44" s="143"/>
      <c r="C44" s="134"/>
      <c r="D44" s="135"/>
      <c r="E44" s="135"/>
      <c r="F44" s="135"/>
      <c r="G44" s="150" t="s">
        <v>54</v>
      </c>
      <c r="H44" s="135"/>
      <c r="I44" s="134"/>
      <c r="J44" s="13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137" t="s">
        <v>16</v>
      </c>
      <c r="B45" s="138">
        <f t="shared" ref="B45:F45" si="17">SUM(B35:B44)</f>
        <v>0</v>
      </c>
      <c r="C45" s="139">
        <f t="shared" si="17"/>
        <v>0</v>
      </c>
      <c r="D45" s="139">
        <f t="shared" si="17"/>
        <v>0</v>
      </c>
      <c r="E45" s="139">
        <f t="shared" si="17"/>
        <v>0</v>
      </c>
      <c r="F45" s="139">
        <f t="shared" si="17"/>
        <v>0</v>
      </c>
      <c r="G45" s="134"/>
      <c r="H45" s="139">
        <f>SUM(H35:H44)</f>
        <v>0</v>
      </c>
      <c r="I45" s="149"/>
      <c r="J45" s="139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126" t="s">
        <v>17</v>
      </c>
      <c r="B46" s="143"/>
      <c r="C46" s="134"/>
      <c r="D46" s="135"/>
      <c r="E46" s="135"/>
      <c r="F46" s="136"/>
      <c r="G46" s="134"/>
      <c r="H46" s="136"/>
      <c r="I46" s="149"/>
      <c r="J46" s="139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126" t="s">
        <v>18</v>
      </c>
      <c r="B47" s="143"/>
      <c r="C47" s="134"/>
      <c r="D47" s="135"/>
      <c r="E47" s="135"/>
      <c r="F47" s="136"/>
      <c r="G47" s="134"/>
      <c r="H47" s="136"/>
      <c r="I47" s="149"/>
      <c r="J47" s="139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126" t="s">
        <v>19</v>
      </c>
      <c r="B48" s="143"/>
      <c r="C48" s="134"/>
      <c r="D48" s="135"/>
      <c r="E48" s="135"/>
      <c r="F48" s="136"/>
      <c r="G48" s="134"/>
      <c r="H48" s="136"/>
      <c r="I48" s="149"/>
      <c r="J48" s="139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126" t="s">
        <v>20</v>
      </c>
      <c r="B49" s="143"/>
      <c r="C49" s="134"/>
      <c r="D49" s="135"/>
      <c r="E49" s="135"/>
      <c r="F49" s="136"/>
      <c r="G49" s="134"/>
      <c r="H49" s="136"/>
      <c r="I49" s="149"/>
      <c r="J49" s="139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137" t="s">
        <v>21</v>
      </c>
      <c r="B50" s="138">
        <f t="shared" ref="B50:F50" si="19">SUM(B46:B49)</f>
        <v>0</v>
      </c>
      <c r="C50" s="139">
        <f t="shared" si="19"/>
        <v>0</v>
      </c>
      <c r="D50" s="139">
        <f t="shared" si="19"/>
        <v>0</v>
      </c>
      <c r="E50" s="139">
        <f t="shared" si="19"/>
        <v>0</v>
      </c>
      <c r="F50" s="139">
        <f t="shared" si="19"/>
        <v>0</v>
      </c>
      <c r="G50" s="134"/>
      <c r="H50" s="136"/>
      <c r="I50" s="149"/>
      <c r="J50" s="139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137" t="s">
        <v>16</v>
      </c>
      <c r="B51" s="138">
        <f t="shared" ref="B51:F51" si="20">SUM(B50,B45)</f>
        <v>0</v>
      </c>
      <c r="C51" s="139">
        <f t="shared" si="20"/>
        <v>0</v>
      </c>
      <c r="D51" s="139">
        <f t="shared" si="20"/>
        <v>0</v>
      </c>
      <c r="E51" s="139">
        <f t="shared" si="20"/>
        <v>0</v>
      </c>
      <c r="F51" s="139">
        <f t="shared" si="20"/>
        <v>0</v>
      </c>
      <c r="G51" s="134"/>
      <c r="H51" s="139">
        <f>SUM(H50,H45)</f>
        <v>0</v>
      </c>
      <c r="I51" s="149"/>
      <c r="J51" s="139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126" t="s">
        <v>22</v>
      </c>
      <c r="B52" s="143"/>
      <c r="C52" s="134"/>
      <c r="D52" s="135"/>
      <c r="E52" s="135"/>
      <c r="F52" s="136"/>
      <c r="G52" s="134"/>
      <c r="H52" s="136"/>
      <c r="I52" s="149"/>
      <c r="J52" s="139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126" t="s">
        <v>23</v>
      </c>
      <c r="B53" s="143"/>
      <c r="C53" s="134"/>
      <c r="D53" s="135"/>
      <c r="E53" s="135"/>
      <c r="F53" s="136"/>
      <c r="G53" s="134"/>
      <c r="H53" s="136"/>
      <c r="I53" s="149"/>
      <c r="J53" s="139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126" t="s">
        <v>24</v>
      </c>
      <c r="B54" s="143"/>
      <c r="C54" s="134"/>
      <c r="D54" s="135"/>
      <c r="E54" s="135"/>
      <c r="F54" s="136"/>
      <c r="G54" s="134"/>
      <c r="H54" s="136"/>
      <c r="I54" s="149"/>
      <c r="J54" s="139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137" t="s">
        <v>16</v>
      </c>
      <c r="B55" s="138">
        <f t="shared" ref="B55:F55" si="21">SUM(B52:B54)</f>
        <v>0</v>
      </c>
      <c r="C55" s="139">
        <f t="shared" si="21"/>
        <v>0</v>
      </c>
      <c r="D55" s="139">
        <f t="shared" si="21"/>
        <v>0</v>
      </c>
      <c r="E55" s="139">
        <f t="shared" si="21"/>
        <v>0</v>
      </c>
      <c r="F55" s="139">
        <f t="shared" si="21"/>
        <v>0</v>
      </c>
      <c r="G55" s="134"/>
      <c r="H55" s="139">
        <f>SUM(H52:H54)</f>
        <v>0</v>
      </c>
      <c r="I55" s="149"/>
      <c r="J55" s="139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137" t="s">
        <v>25</v>
      </c>
      <c r="B56" s="138">
        <f t="shared" ref="B56:F56" si="22">SUM(B51,B55)</f>
        <v>0</v>
      </c>
      <c r="C56" s="139">
        <f t="shared" si="22"/>
        <v>0</v>
      </c>
      <c r="D56" s="139">
        <f t="shared" si="22"/>
        <v>0</v>
      </c>
      <c r="E56" s="139">
        <f t="shared" si="22"/>
        <v>0</v>
      </c>
      <c r="F56" s="139">
        <f t="shared" si="22"/>
        <v>0</v>
      </c>
      <c r="G56" s="134"/>
      <c r="H56" s="139">
        <f>SUM(H51,H55)</f>
        <v>0</v>
      </c>
      <c r="I56" s="149"/>
      <c r="J56" s="139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126" t="s">
        <v>26</v>
      </c>
      <c r="B57" s="143"/>
      <c r="C57" s="134"/>
      <c r="D57" s="135"/>
      <c r="E57" s="135"/>
      <c r="F57" s="135"/>
      <c r="G57" s="134"/>
      <c r="H57" s="136"/>
      <c r="I57" s="149"/>
      <c r="J57" s="139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126" t="s">
        <v>27</v>
      </c>
      <c r="B58" s="143"/>
      <c r="C58" s="134"/>
      <c r="D58" s="135"/>
      <c r="E58" s="135"/>
      <c r="F58" s="136"/>
      <c r="G58" s="134"/>
      <c r="H58" s="136"/>
      <c r="I58" s="149"/>
      <c r="J58" s="139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126" t="s">
        <v>28</v>
      </c>
      <c r="B59" s="143"/>
      <c r="C59" s="134"/>
      <c r="D59" s="135"/>
      <c r="E59" s="135"/>
      <c r="F59" s="136"/>
      <c r="G59" s="134"/>
      <c r="H59" s="136"/>
      <c r="I59" s="149"/>
      <c r="J59" s="139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126" t="s">
        <v>29</v>
      </c>
      <c r="B60" s="143"/>
      <c r="C60" s="134"/>
      <c r="D60" s="135"/>
      <c r="E60" s="135"/>
      <c r="F60" s="136"/>
      <c r="G60" s="134"/>
      <c r="H60" s="136"/>
      <c r="I60" s="149"/>
      <c r="J60" s="139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126" t="s">
        <v>30</v>
      </c>
      <c r="B61" s="143"/>
      <c r="C61" s="134"/>
      <c r="D61" s="135"/>
      <c r="E61" s="135"/>
      <c r="F61" s="136"/>
      <c r="G61" s="134"/>
      <c r="H61" s="136"/>
      <c r="I61" s="149"/>
      <c r="J61" s="139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126" t="s">
        <v>31</v>
      </c>
      <c r="B62" s="143"/>
      <c r="C62" s="134"/>
      <c r="D62" s="135"/>
      <c r="E62" s="135"/>
      <c r="F62" s="136"/>
      <c r="G62" s="134"/>
      <c r="H62" s="136"/>
      <c r="I62" s="149"/>
      <c r="J62" s="139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137" t="s">
        <v>16</v>
      </c>
      <c r="B63" s="138">
        <f t="shared" ref="B63:F63" si="23">SUM(B57:B62)</f>
        <v>0</v>
      </c>
      <c r="C63" s="139">
        <f t="shared" si="23"/>
        <v>0</v>
      </c>
      <c r="D63" s="139">
        <f t="shared" si="23"/>
        <v>0</v>
      </c>
      <c r="E63" s="139">
        <f t="shared" si="23"/>
        <v>0</v>
      </c>
      <c r="F63" s="139">
        <f t="shared" si="23"/>
        <v>0</v>
      </c>
      <c r="G63" s="134"/>
      <c r="H63" s="139">
        <f>SUM(H57:H62)</f>
        <v>0</v>
      </c>
      <c r="I63" s="149"/>
      <c r="J63" s="139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137" t="s">
        <v>32</v>
      </c>
      <c r="B64" s="138">
        <f t="shared" ref="B64:F64" si="24">SUM(B56,B63)</f>
        <v>0</v>
      </c>
      <c r="C64" s="139">
        <f t="shared" si="24"/>
        <v>0</v>
      </c>
      <c r="D64" s="139">
        <f t="shared" si="24"/>
        <v>0</v>
      </c>
      <c r="E64" s="139">
        <f t="shared" si="24"/>
        <v>0</v>
      </c>
      <c r="F64" s="139">
        <f t="shared" si="24"/>
        <v>0</v>
      </c>
      <c r="G64" s="134"/>
      <c r="H64" s="139">
        <f>SUM(H56,H63)</f>
        <v>0</v>
      </c>
      <c r="I64" s="149"/>
      <c r="J64" s="139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126" t="s">
        <v>33</v>
      </c>
      <c r="B65" s="143"/>
      <c r="C65" s="134"/>
      <c r="D65" s="134"/>
      <c r="E65" s="145">
        <f t="shared" ref="E65:F65" si="25">E64</f>
        <v>0</v>
      </c>
      <c r="F65" s="145">
        <f t="shared" si="25"/>
        <v>0</v>
      </c>
      <c r="G65" s="134"/>
      <c r="H65" s="145">
        <f>H64</f>
        <v>0</v>
      </c>
      <c r="I65" s="134"/>
      <c r="J65" s="13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126" t="s">
        <v>34</v>
      </c>
      <c r="B66" s="144">
        <f t="shared" ref="B66:F66" si="26">+B64-B65</f>
        <v>0</v>
      </c>
      <c r="C66" s="145">
        <f t="shared" si="26"/>
        <v>0</v>
      </c>
      <c r="D66" s="145">
        <f t="shared" si="26"/>
        <v>0</v>
      </c>
      <c r="E66" s="145">
        <f t="shared" si="26"/>
        <v>0</v>
      </c>
      <c r="F66" s="145">
        <f t="shared" si="26"/>
        <v>0</v>
      </c>
      <c r="G66" s="134"/>
      <c r="H66" s="145">
        <f>+H64-H65</f>
        <v>0</v>
      </c>
      <c r="I66" s="134"/>
      <c r="J66" s="139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126" t="s">
        <v>35</v>
      </c>
      <c r="B67" s="133"/>
      <c r="C67" s="135"/>
      <c r="D67" s="135"/>
      <c r="E67" s="135"/>
      <c r="F67" s="135"/>
      <c r="G67" s="135"/>
      <c r="H67" s="135"/>
      <c r="I67" s="151"/>
      <c r="J67" s="13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126" t="s">
        <v>35</v>
      </c>
      <c r="B68" s="133"/>
      <c r="C68" s="135"/>
      <c r="D68" s="135"/>
      <c r="E68" s="135"/>
      <c r="F68" s="135"/>
      <c r="G68" s="135"/>
      <c r="H68" s="135"/>
      <c r="I68" s="151"/>
      <c r="J68" s="13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14" t="str">
        <f>A37</f>
        <v>SKIM 3</v>
      </c>
      <c r="B69" s="115"/>
      <c r="C69" s="114" t="s">
        <v>1</v>
      </c>
      <c r="D69" s="152">
        <f>+D33</f>
        <v>42787</v>
      </c>
      <c r="E69" s="114" t="s">
        <v>2</v>
      </c>
      <c r="F69" s="115"/>
      <c r="G69" s="115"/>
      <c r="H69" s="115"/>
      <c r="I69" s="115"/>
      <c r="J69" s="115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153" t="s">
        <v>55</v>
      </c>
      <c r="B70" s="154" t="s">
        <v>56</v>
      </c>
      <c r="C70" s="155" t="s">
        <v>57</v>
      </c>
      <c r="D70" s="156" t="s">
        <v>58</v>
      </c>
      <c r="E70" s="157">
        <f>SUM(C71:C88)</f>
        <v>0</v>
      </c>
      <c r="F70" s="158"/>
      <c r="G70" s="158"/>
      <c r="H70" s="158"/>
      <c r="I70" s="158"/>
      <c r="J70" s="158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25">
      <c r="A71" s="159"/>
      <c r="B71" s="160"/>
      <c r="C71" s="161"/>
      <c r="D71" s="162" t="s">
        <v>59</v>
      </c>
      <c r="E71" s="163">
        <f>E70-J45</f>
        <v>0</v>
      </c>
      <c r="F71" s="164" t="s">
        <v>60</v>
      </c>
      <c r="G71" s="158"/>
      <c r="H71" s="158"/>
      <c r="I71" s="158"/>
      <c r="J71" s="158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25">
      <c r="A72" s="159"/>
      <c r="B72" s="160"/>
      <c r="C72" s="161"/>
      <c r="D72" s="158"/>
      <c r="E72" s="158"/>
      <c r="F72" s="165" t="s">
        <v>61</v>
      </c>
      <c r="G72" s="165" t="s">
        <v>62</v>
      </c>
      <c r="H72" s="158"/>
      <c r="I72" s="158"/>
      <c r="J72" s="158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25">
      <c r="A73" s="159"/>
      <c r="B73" s="160"/>
      <c r="C73" s="161"/>
      <c r="D73" s="162" t="s">
        <v>63</v>
      </c>
      <c r="E73" s="166">
        <f>+J46</f>
        <v>0</v>
      </c>
      <c r="F73" s="167"/>
      <c r="G73" s="168"/>
      <c r="H73" s="158"/>
      <c r="I73" s="158"/>
      <c r="J73" s="158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25">
      <c r="A74" s="159"/>
      <c r="B74" s="160"/>
      <c r="C74" s="161"/>
      <c r="D74" s="162" t="s">
        <v>64</v>
      </c>
      <c r="E74" s="166">
        <f t="shared" ref="E74:E76" si="27">+J52</f>
        <v>0</v>
      </c>
      <c r="F74" s="167"/>
      <c r="G74" s="168"/>
      <c r="H74" s="158"/>
      <c r="I74" s="158"/>
      <c r="J74" s="158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25">
      <c r="A75" s="159"/>
      <c r="B75" s="160"/>
      <c r="C75" s="161"/>
      <c r="D75" s="162" t="s">
        <v>65</v>
      </c>
      <c r="E75" s="166">
        <f t="shared" si="27"/>
        <v>0</v>
      </c>
      <c r="F75" s="167"/>
      <c r="G75" s="168"/>
      <c r="H75" s="158"/>
      <c r="I75" s="158"/>
      <c r="J75" s="158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25">
      <c r="A76" s="159"/>
      <c r="B76" s="160"/>
      <c r="C76" s="161"/>
      <c r="D76" s="162" t="s">
        <v>66</v>
      </c>
      <c r="E76" s="166">
        <f t="shared" si="27"/>
        <v>0</v>
      </c>
      <c r="F76" s="167"/>
      <c r="G76" s="168"/>
      <c r="H76" s="158"/>
      <c r="I76" s="158"/>
      <c r="J76" s="158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25">
      <c r="A77" s="159"/>
      <c r="B77" s="160"/>
      <c r="C77" s="161"/>
      <c r="D77" s="162" t="s">
        <v>67</v>
      </c>
      <c r="E77" s="166">
        <f>+J63</f>
        <v>0</v>
      </c>
      <c r="F77" s="167"/>
      <c r="G77" s="168"/>
      <c r="H77" s="158"/>
      <c r="I77" s="158"/>
      <c r="J77" s="158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25">
      <c r="A78" s="159"/>
      <c r="B78" s="160"/>
      <c r="C78" s="161"/>
      <c r="D78" s="156" t="s">
        <v>9</v>
      </c>
      <c r="E78" s="169">
        <f>SUM(E70,E73,E74,E75,E76,E77)</f>
        <v>0</v>
      </c>
      <c r="F78" s="167"/>
      <c r="G78" s="168"/>
      <c r="H78" s="158"/>
      <c r="I78" s="158"/>
      <c r="J78" s="158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25">
      <c r="A79" s="159"/>
      <c r="B79" s="160"/>
      <c r="C79" s="161"/>
      <c r="D79" s="158"/>
      <c r="E79" s="170"/>
      <c r="F79" s="167"/>
      <c r="G79" s="168"/>
      <c r="H79" s="158"/>
      <c r="I79" s="158"/>
      <c r="J79" s="158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25">
      <c r="A80" s="159"/>
      <c r="B80" s="160"/>
      <c r="C80" s="161"/>
      <c r="D80" s="158"/>
      <c r="E80" s="170"/>
      <c r="F80" s="167"/>
      <c r="G80" s="168"/>
      <c r="H80" s="158"/>
      <c r="I80" s="158"/>
      <c r="J80" s="158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25">
      <c r="A81" s="159"/>
      <c r="B81" s="160"/>
      <c r="C81" s="161"/>
      <c r="D81" s="158"/>
      <c r="E81" s="170"/>
      <c r="F81" s="167"/>
      <c r="G81" s="168"/>
      <c r="H81" s="158"/>
      <c r="I81" s="158"/>
      <c r="J81" s="158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25">
      <c r="A82" s="159"/>
      <c r="B82" s="160"/>
      <c r="C82" s="161"/>
      <c r="D82" s="158"/>
      <c r="E82" s="170"/>
      <c r="F82" s="167"/>
      <c r="G82" s="168"/>
      <c r="H82" s="158"/>
      <c r="I82" s="158"/>
      <c r="J82" s="158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25">
      <c r="A83" s="159"/>
      <c r="B83" s="160"/>
      <c r="C83" s="161"/>
      <c r="D83" s="158"/>
      <c r="E83" s="170"/>
      <c r="F83" s="171"/>
      <c r="G83" s="151"/>
      <c r="H83" s="158"/>
      <c r="I83" s="158"/>
      <c r="J83" s="158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25">
      <c r="A84" s="159"/>
      <c r="B84" s="160"/>
      <c r="C84" s="161"/>
      <c r="D84" s="158"/>
      <c r="E84" s="158"/>
      <c r="F84" s="158"/>
      <c r="G84" s="158"/>
      <c r="H84" s="158"/>
      <c r="I84" s="158"/>
      <c r="J84" s="158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25">
      <c r="A85" s="159"/>
      <c r="B85" s="160"/>
      <c r="C85" s="161"/>
      <c r="D85" s="158"/>
      <c r="E85" s="158"/>
      <c r="F85" s="158"/>
      <c r="G85" s="158"/>
      <c r="H85" s="158"/>
      <c r="I85" s="158"/>
      <c r="J85" s="158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25">
      <c r="A86" s="159"/>
      <c r="B86" s="160"/>
      <c r="C86" s="161"/>
      <c r="D86" s="158"/>
      <c r="E86" s="158"/>
      <c r="F86" s="158"/>
      <c r="G86" s="158"/>
      <c r="H86" s="158"/>
      <c r="I86" s="158"/>
      <c r="J86" s="158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25">
      <c r="A87" s="159"/>
      <c r="B87" s="172"/>
      <c r="C87" s="161"/>
      <c r="D87" s="158"/>
      <c r="E87" s="158"/>
      <c r="F87" s="158"/>
      <c r="G87" s="158"/>
      <c r="H87" s="158"/>
      <c r="I87" s="158"/>
      <c r="J87" s="158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25">
      <c r="A88" s="159"/>
      <c r="B88" s="172"/>
      <c r="C88" s="161"/>
      <c r="D88" s="158"/>
      <c r="E88" s="158"/>
      <c r="F88" s="158"/>
      <c r="G88" s="158"/>
      <c r="H88" s="158"/>
      <c r="I88" s="158"/>
      <c r="J88" s="158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25">
      <c r="A89" s="173"/>
      <c r="B89" s="158"/>
      <c r="C89" s="158"/>
      <c r="D89" s="158"/>
      <c r="E89" s="158"/>
      <c r="F89" s="158"/>
      <c r="G89" s="158"/>
      <c r="H89" s="158"/>
      <c r="I89" s="158"/>
      <c r="J89" s="158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42788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27"/>
      <c r="C3" s="128"/>
      <c r="D3" s="128"/>
      <c r="E3" s="129"/>
      <c r="F3" s="128"/>
      <c r="G3" s="130"/>
      <c r="H3" s="130"/>
      <c r="I3" s="128"/>
      <c r="J3" s="131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33"/>
      <c r="C4" s="134"/>
      <c r="D4" s="134"/>
      <c r="E4" s="129"/>
      <c r="F4" s="134"/>
      <c r="G4" s="135"/>
      <c r="H4" s="135"/>
      <c r="I4" s="134"/>
      <c r="J4" s="13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33"/>
      <c r="C5" s="134"/>
      <c r="D5" s="134"/>
      <c r="E5" s="129"/>
      <c r="F5" s="134"/>
      <c r="G5" s="135"/>
      <c r="H5" s="135"/>
      <c r="I5" s="134"/>
      <c r="J5" s="13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33"/>
      <c r="C6" s="134"/>
      <c r="D6" s="134"/>
      <c r="E6" s="129"/>
      <c r="F6" s="134"/>
      <c r="G6" s="135"/>
      <c r="H6" s="135"/>
      <c r="I6" s="134"/>
      <c r="J6" s="13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33"/>
      <c r="C7" s="134"/>
      <c r="D7" s="134"/>
      <c r="E7" s="129"/>
      <c r="F7" s="134"/>
      <c r="G7" s="135"/>
      <c r="H7" s="135"/>
      <c r="I7" s="134"/>
      <c r="J7" s="13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33"/>
      <c r="C8" s="134"/>
      <c r="D8" s="134"/>
      <c r="E8" s="135"/>
      <c r="F8" s="134"/>
      <c r="G8" s="135"/>
      <c r="H8" s="135"/>
      <c r="I8" s="134"/>
      <c r="J8" s="13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38">
        <f t="shared" ref="B9:C9" si="0">SUM(B3:B8)</f>
        <v>0</v>
      </c>
      <c r="C9" s="139">
        <f t="shared" si="0"/>
        <v>0</v>
      </c>
      <c r="D9" s="134"/>
      <c r="E9" s="139">
        <f>SUM(E3:E8)</f>
        <v>0</v>
      </c>
      <c r="F9" s="134"/>
      <c r="G9" s="139">
        <f t="shared" ref="G9:I9" si="1">SUM(G3:G8)</f>
        <v>0</v>
      </c>
      <c r="H9" s="139">
        <f t="shared" si="1"/>
        <v>0</v>
      </c>
      <c r="I9" s="139">
        <f t="shared" si="1"/>
        <v>0</v>
      </c>
      <c r="J9" s="139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33"/>
      <c r="C10" s="134"/>
      <c r="D10" s="134"/>
      <c r="E10" s="129"/>
      <c r="F10" s="134"/>
      <c r="G10" s="135"/>
      <c r="H10" s="135"/>
      <c r="I10" s="134"/>
      <c r="J10" s="139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33"/>
      <c r="C11" s="134"/>
      <c r="D11" s="134"/>
      <c r="E11" s="129"/>
      <c r="F11" s="134"/>
      <c r="G11" s="135"/>
      <c r="H11" s="135"/>
      <c r="I11" s="134"/>
      <c r="J11" s="139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33"/>
      <c r="C12" s="134"/>
      <c r="D12" s="134"/>
      <c r="E12" s="129"/>
      <c r="F12" s="134"/>
      <c r="G12" s="135"/>
      <c r="H12" s="135"/>
      <c r="I12" s="134"/>
      <c r="J12" s="139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33"/>
      <c r="C13" s="134"/>
      <c r="D13" s="134"/>
      <c r="E13" s="129"/>
      <c r="F13" s="134"/>
      <c r="G13" s="135"/>
      <c r="H13" s="135"/>
      <c r="I13" s="134"/>
      <c r="J13" s="139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38">
        <f t="shared" ref="B14:C14" si="3">SUM(B10:B13)</f>
        <v>0</v>
      </c>
      <c r="C14" s="139">
        <f t="shared" si="3"/>
        <v>0</v>
      </c>
      <c r="D14" s="134"/>
      <c r="E14" s="139">
        <f>SUM(E10:E13)</f>
        <v>0</v>
      </c>
      <c r="F14" s="134"/>
      <c r="G14" s="139">
        <f t="shared" ref="G14:I14" si="4">SUM(G10:G13)</f>
        <v>0</v>
      </c>
      <c r="H14" s="139">
        <f t="shared" si="4"/>
        <v>0</v>
      </c>
      <c r="I14" s="139">
        <f t="shared" si="4"/>
        <v>0</v>
      </c>
      <c r="J14" s="139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38">
        <f t="shared" ref="B15:C15" si="5">SUM(B14,B9)</f>
        <v>0</v>
      </c>
      <c r="C15" s="139">
        <f t="shared" si="5"/>
        <v>0</v>
      </c>
      <c r="D15" s="134"/>
      <c r="E15" s="139">
        <f>SUM(E14,E9)</f>
        <v>0</v>
      </c>
      <c r="F15" s="134"/>
      <c r="G15" s="139">
        <f t="shared" ref="G15:I15" si="6">SUM(G14,G9)</f>
        <v>0</v>
      </c>
      <c r="H15" s="139">
        <f t="shared" si="6"/>
        <v>0</v>
      </c>
      <c r="I15" s="139">
        <f t="shared" si="6"/>
        <v>0</v>
      </c>
      <c r="J15" s="139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33"/>
      <c r="C16" s="134"/>
      <c r="D16" s="134"/>
      <c r="E16" s="135"/>
      <c r="F16" s="134"/>
      <c r="G16" s="135"/>
      <c r="H16" s="135"/>
      <c r="I16" s="134"/>
      <c r="J16" s="139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33"/>
      <c r="C17" s="134"/>
      <c r="D17" s="134"/>
      <c r="E17" s="135"/>
      <c r="F17" s="134"/>
      <c r="G17" s="135"/>
      <c r="H17" s="135"/>
      <c r="I17" s="134"/>
      <c r="J17" s="139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33"/>
      <c r="C18" s="134"/>
      <c r="D18" s="134"/>
      <c r="E18" s="135"/>
      <c r="F18" s="134"/>
      <c r="G18" s="135"/>
      <c r="H18" s="135"/>
      <c r="I18" s="134"/>
      <c r="J18" s="139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38">
        <f t="shared" ref="B19:C19" si="7">SUM(B16:B18)</f>
        <v>0</v>
      </c>
      <c r="C19" s="139">
        <f t="shared" si="7"/>
        <v>0</v>
      </c>
      <c r="D19" s="134"/>
      <c r="E19" s="139">
        <f>SUM(E16:E18)</f>
        <v>0</v>
      </c>
      <c r="F19" s="134"/>
      <c r="G19" s="139">
        <f t="shared" ref="G19:I19" si="8">SUM(G16:G18)</f>
        <v>0</v>
      </c>
      <c r="H19" s="139">
        <f t="shared" si="8"/>
        <v>0</v>
      </c>
      <c r="I19" s="139">
        <f t="shared" si="8"/>
        <v>0</v>
      </c>
      <c r="J19" s="139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38">
        <f t="shared" ref="B20:C20" si="9">SUM(B15,B19)</f>
        <v>0</v>
      </c>
      <c r="C20" s="139">
        <f t="shared" si="9"/>
        <v>0</v>
      </c>
      <c r="D20" s="134"/>
      <c r="E20" s="139">
        <f>SUM(E15,E19)</f>
        <v>0</v>
      </c>
      <c r="F20" s="134"/>
      <c r="G20" s="139">
        <f t="shared" ref="G20:I20" si="10">SUM(G15,G19)</f>
        <v>0</v>
      </c>
      <c r="H20" s="139">
        <f t="shared" si="10"/>
        <v>0</v>
      </c>
      <c r="I20" s="139">
        <f t="shared" si="10"/>
        <v>0</v>
      </c>
      <c r="J20" s="139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33"/>
      <c r="C21" s="134"/>
      <c r="D21" s="134"/>
      <c r="E21" s="135"/>
      <c r="F21" s="134"/>
      <c r="G21" s="135"/>
      <c r="H21" s="135"/>
      <c r="I21" s="134"/>
      <c r="J21" s="139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33"/>
      <c r="C22" s="134"/>
      <c r="D22" s="134"/>
      <c r="E22" s="135"/>
      <c r="F22" s="134"/>
      <c r="G22" s="135"/>
      <c r="H22" s="135"/>
      <c r="I22" s="134"/>
      <c r="J22" s="139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33"/>
      <c r="C23" s="134"/>
      <c r="D23" s="134"/>
      <c r="E23" s="135"/>
      <c r="F23" s="134"/>
      <c r="G23" s="135"/>
      <c r="H23" s="135"/>
      <c r="I23" s="134"/>
      <c r="J23" s="139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33"/>
      <c r="C24" s="134"/>
      <c r="D24" s="134"/>
      <c r="E24" s="135"/>
      <c r="F24" s="134"/>
      <c r="G24" s="135"/>
      <c r="H24" s="135"/>
      <c r="I24" s="134"/>
      <c r="J24" s="139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33"/>
      <c r="C25" s="134"/>
      <c r="D25" s="134"/>
      <c r="E25" s="135"/>
      <c r="F25" s="134"/>
      <c r="G25" s="135"/>
      <c r="H25" s="135"/>
      <c r="I25" s="134"/>
      <c r="J25" s="139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33"/>
      <c r="C26" s="134"/>
      <c r="D26" s="134"/>
      <c r="E26" s="135"/>
      <c r="F26" s="134"/>
      <c r="G26" s="135"/>
      <c r="H26" s="135"/>
      <c r="I26" s="134"/>
      <c r="J26" s="139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38">
        <f t="shared" ref="B27:C27" si="11">SUM(B21:B26)</f>
        <v>0</v>
      </c>
      <c r="C27" s="139">
        <f t="shared" si="11"/>
        <v>0</v>
      </c>
      <c r="D27" s="134"/>
      <c r="E27" s="139">
        <f>SUM(E21:E26)</f>
        <v>0</v>
      </c>
      <c r="F27" s="134"/>
      <c r="G27" s="139">
        <f t="shared" ref="G27:I27" si="12">SUM(G21:G26)</f>
        <v>0</v>
      </c>
      <c r="H27" s="139">
        <f t="shared" si="12"/>
        <v>0</v>
      </c>
      <c r="I27" s="139">
        <f t="shared" si="12"/>
        <v>0</v>
      </c>
      <c r="J27" s="139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38">
        <f t="shared" ref="B28:C28" si="13">SUM(B20,B27)</f>
        <v>0</v>
      </c>
      <c r="C28" s="139">
        <f t="shared" si="13"/>
        <v>0</v>
      </c>
      <c r="D28" s="134"/>
      <c r="E28" s="139">
        <f>SUM(E20,E27)</f>
        <v>0</v>
      </c>
      <c r="F28" s="134"/>
      <c r="G28" s="139">
        <f t="shared" ref="G28:I28" si="14">SUM(G20,G27)</f>
        <v>0</v>
      </c>
      <c r="H28" s="139">
        <f t="shared" si="14"/>
        <v>0</v>
      </c>
      <c r="I28" s="139">
        <f t="shared" si="14"/>
        <v>0</v>
      </c>
      <c r="J28" s="139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43"/>
      <c r="C29" s="134"/>
      <c r="D29" s="134"/>
      <c r="E29" s="134"/>
      <c r="F29" s="134"/>
      <c r="G29" s="134"/>
      <c r="H29" s="134"/>
      <c r="I29" s="134"/>
      <c r="J29" s="13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44">
        <f t="shared" ref="B30:C30" si="15">+B28-B29</f>
        <v>0</v>
      </c>
      <c r="C30" s="145">
        <f t="shared" si="15"/>
        <v>0</v>
      </c>
      <c r="D30" s="134"/>
      <c r="E30" s="145">
        <f>+E28-E29</f>
        <v>0</v>
      </c>
      <c r="F30" s="134"/>
      <c r="G30" s="145">
        <f t="shared" ref="G30:I30" si="16">+G28-G29</f>
        <v>0</v>
      </c>
      <c r="H30" s="145">
        <f t="shared" si="16"/>
        <v>0</v>
      </c>
      <c r="I30" s="145">
        <f t="shared" si="16"/>
        <v>0</v>
      </c>
      <c r="J30" s="139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33"/>
      <c r="C31" s="135"/>
      <c r="D31" s="135"/>
      <c r="E31" s="135"/>
      <c r="F31" s="135"/>
      <c r="G31" s="135"/>
      <c r="H31" s="135"/>
      <c r="I31" s="135"/>
      <c r="J31" s="13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33"/>
      <c r="C32" s="135"/>
      <c r="D32" s="135"/>
      <c r="E32" s="135"/>
      <c r="F32" s="135"/>
      <c r="G32" s="135"/>
      <c r="H32" s="135"/>
      <c r="I32" s="135"/>
      <c r="J32" s="13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176"/>
      <c r="C33" s="175" t="s">
        <v>1</v>
      </c>
      <c r="D33" s="178">
        <f>D$1</f>
        <v>42788</v>
      </c>
      <c r="E33" s="175" t="s">
        <v>2</v>
      </c>
      <c r="F33" s="176"/>
      <c r="G33" s="176"/>
      <c r="H33" s="176"/>
      <c r="I33" s="176"/>
      <c r="J33" s="17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47" t="s">
        <v>36</v>
      </c>
      <c r="C34" s="121" t="s">
        <v>37</v>
      </c>
      <c r="D34" s="120" t="s">
        <v>38</v>
      </c>
      <c r="E34" s="120" t="s">
        <v>39</v>
      </c>
      <c r="F34" s="120" t="s">
        <v>40</v>
      </c>
      <c r="G34" s="120" t="s">
        <v>41</v>
      </c>
      <c r="H34" s="120" t="s">
        <v>42</v>
      </c>
      <c r="I34" s="120" t="s">
        <v>43</v>
      </c>
      <c r="J34" s="12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43"/>
      <c r="C35" s="134"/>
      <c r="D35" s="135"/>
      <c r="E35" s="135"/>
      <c r="F35" s="135"/>
      <c r="G35" s="148" t="s">
        <v>44</v>
      </c>
      <c r="H35" s="135"/>
      <c r="I35" s="149"/>
      <c r="J35" s="13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43"/>
      <c r="C36" s="134"/>
      <c r="D36" s="135"/>
      <c r="E36" s="135"/>
      <c r="F36" s="135"/>
      <c r="G36" s="150" t="s">
        <v>45</v>
      </c>
      <c r="H36" s="135"/>
      <c r="I36" s="149"/>
      <c r="J36" s="13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43"/>
      <c r="C37" s="134"/>
      <c r="D37" s="135"/>
      <c r="E37" s="135"/>
      <c r="F37" s="135"/>
      <c r="G37" s="150" t="s">
        <v>46</v>
      </c>
      <c r="H37" s="135"/>
      <c r="I37" s="149"/>
      <c r="J37" s="13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43"/>
      <c r="C38" s="134"/>
      <c r="D38" s="135"/>
      <c r="E38" s="135"/>
      <c r="F38" s="135"/>
      <c r="G38" s="150" t="s">
        <v>47</v>
      </c>
      <c r="H38" s="135"/>
      <c r="I38" s="149"/>
      <c r="J38" s="13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43"/>
      <c r="C39" s="134"/>
      <c r="D39" s="135"/>
      <c r="E39" s="135"/>
      <c r="F39" s="135"/>
      <c r="G39" s="150" t="s">
        <v>48</v>
      </c>
      <c r="H39" s="135"/>
      <c r="I39" s="149"/>
      <c r="J39" s="13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43"/>
      <c r="C40" s="134"/>
      <c r="D40" s="135"/>
      <c r="E40" s="135"/>
      <c r="F40" s="135"/>
      <c r="G40" s="134"/>
      <c r="H40" s="135"/>
      <c r="I40" s="149"/>
      <c r="J40" s="13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43"/>
      <c r="C41" s="134"/>
      <c r="D41" s="135"/>
      <c r="E41" s="135"/>
      <c r="F41" s="135"/>
      <c r="G41" s="134"/>
      <c r="H41" s="135"/>
      <c r="I41" s="134"/>
      <c r="J41" s="13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43"/>
      <c r="C42" s="134"/>
      <c r="D42" s="135"/>
      <c r="E42" s="135"/>
      <c r="F42" s="135"/>
      <c r="G42" s="134"/>
      <c r="H42" s="135"/>
      <c r="I42" s="134"/>
      <c r="J42" s="13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43"/>
      <c r="C43" s="134"/>
      <c r="D43" s="135"/>
      <c r="E43" s="135"/>
      <c r="F43" s="135"/>
      <c r="G43" s="150" t="s">
        <v>52</v>
      </c>
      <c r="H43" s="135"/>
      <c r="I43" s="134"/>
      <c r="J43" s="13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43"/>
      <c r="C44" s="134"/>
      <c r="D44" s="135"/>
      <c r="E44" s="135"/>
      <c r="F44" s="135"/>
      <c r="G44" s="150" t="s">
        <v>54</v>
      </c>
      <c r="H44" s="135"/>
      <c r="I44" s="134"/>
      <c r="J44" s="13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38">
        <f t="shared" ref="B45:F45" si="17">SUM(B35:B44)</f>
        <v>0</v>
      </c>
      <c r="C45" s="139">
        <f t="shared" si="17"/>
        <v>0</v>
      </c>
      <c r="D45" s="139">
        <f t="shared" si="17"/>
        <v>0</v>
      </c>
      <c r="E45" s="139">
        <f t="shared" si="17"/>
        <v>0</v>
      </c>
      <c r="F45" s="139">
        <f t="shared" si="17"/>
        <v>0</v>
      </c>
      <c r="G45" s="134"/>
      <c r="H45" s="139">
        <f>SUM(H35:H44)</f>
        <v>0</v>
      </c>
      <c r="I45" s="149"/>
      <c r="J45" s="139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43"/>
      <c r="C46" s="134"/>
      <c r="D46" s="135"/>
      <c r="E46" s="135"/>
      <c r="F46" s="136"/>
      <c r="G46" s="134"/>
      <c r="H46" s="136"/>
      <c r="I46" s="149"/>
      <c r="J46" s="139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43"/>
      <c r="C47" s="134"/>
      <c r="D47" s="135"/>
      <c r="E47" s="135"/>
      <c r="F47" s="136"/>
      <c r="G47" s="134"/>
      <c r="H47" s="136"/>
      <c r="I47" s="149"/>
      <c r="J47" s="139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43"/>
      <c r="C48" s="134"/>
      <c r="D48" s="135"/>
      <c r="E48" s="135"/>
      <c r="F48" s="136"/>
      <c r="G48" s="134"/>
      <c r="H48" s="136"/>
      <c r="I48" s="149"/>
      <c r="J48" s="139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43"/>
      <c r="C49" s="134"/>
      <c r="D49" s="135"/>
      <c r="E49" s="135"/>
      <c r="F49" s="136"/>
      <c r="G49" s="134"/>
      <c r="H49" s="136"/>
      <c r="I49" s="149"/>
      <c r="J49" s="139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38">
        <f t="shared" ref="B50:F50" si="19">SUM(B46:B49)</f>
        <v>0</v>
      </c>
      <c r="C50" s="139">
        <f t="shared" si="19"/>
        <v>0</v>
      </c>
      <c r="D50" s="139">
        <f t="shared" si="19"/>
        <v>0</v>
      </c>
      <c r="E50" s="139">
        <f t="shared" si="19"/>
        <v>0</v>
      </c>
      <c r="F50" s="139">
        <f t="shared" si="19"/>
        <v>0</v>
      </c>
      <c r="G50" s="134"/>
      <c r="H50" s="136"/>
      <c r="I50" s="149"/>
      <c r="J50" s="139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38">
        <f t="shared" ref="B51:F51" si="20">SUM(B50,B45)</f>
        <v>0</v>
      </c>
      <c r="C51" s="139">
        <f t="shared" si="20"/>
        <v>0</v>
      </c>
      <c r="D51" s="139">
        <f t="shared" si="20"/>
        <v>0</v>
      </c>
      <c r="E51" s="139">
        <f t="shared" si="20"/>
        <v>0</v>
      </c>
      <c r="F51" s="139">
        <f t="shared" si="20"/>
        <v>0</v>
      </c>
      <c r="G51" s="134"/>
      <c r="H51" s="139">
        <f>SUM(H50,H45)</f>
        <v>0</v>
      </c>
      <c r="I51" s="149"/>
      <c r="J51" s="139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43"/>
      <c r="C52" s="134"/>
      <c r="D52" s="135"/>
      <c r="E52" s="135"/>
      <c r="F52" s="136"/>
      <c r="G52" s="134"/>
      <c r="H52" s="136"/>
      <c r="I52" s="149"/>
      <c r="J52" s="139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43"/>
      <c r="C53" s="134"/>
      <c r="D53" s="135"/>
      <c r="E53" s="135"/>
      <c r="F53" s="136"/>
      <c r="G53" s="134"/>
      <c r="H53" s="136"/>
      <c r="I53" s="149"/>
      <c r="J53" s="139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43"/>
      <c r="C54" s="134"/>
      <c r="D54" s="135"/>
      <c r="E54" s="135"/>
      <c r="F54" s="136"/>
      <c r="G54" s="134"/>
      <c r="H54" s="136"/>
      <c r="I54" s="149"/>
      <c r="J54" s="139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38">
        <f t="shared" ref="B55:F55" si="21">SUM(B52:B54)</f>
        <v>0</v>
      </c>
      <c r="C55" s="139">
        <f t="shared" si="21"/>
        <v>0</v>
      </c>
      <c r="D55" s="139">
        <f t="shared" si="21"/>
        <v>0</v>
      </c>
      <c r="E55" s="139">
        <f t="shared" si="21"/>
        <v>0</v>
      </c>
      <c r="F55" s="139">
        <f t="shared" si="21"/>
        <v>0</v>
      </c>
      <c r="G55" s="134"/>
      <c r="H55" s="139">
        <f>SUM(H52:H54)</f>
        <v>0</v>
      </c>
      <c r="I55" s="149"/>
      <c r="J55" s="139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38">
        <f t="shared" ref="B56:F56" si="22">SUM(B51,B55)</f>
        <v>0</v>
      </c>
      <c r="C56" s="139">
        <f t="shared" si="22"/>
        <v>0</v>
      </c>
      <c r="D56" s="139">
        <f t="shared" si="22"/>
        <v>0</v>
      </c>
      <c r="E56" s="139">
        <f t="shared" si="22"/>
        <v>0</v>
      </c>
      <c r="F56" s="139">
        <f t="shared" si="22"/>
        <v>0</v>
      </c>
      <c r="G56" s="134"/>
      <c r="H56" s="139">
        <f>SUM(H51,H55)</f>
        <v>0</v>
      </c>
      <c r="I56" s="149"/>
      <c r="J56" s="139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43"/>
      <c r="C57" s="134"/>
      <c r="D57" s="135"/>
      <c r="E57" s="135"/>
      <c r="F57" s="135"/>
      <c r="G57" s="134"/>
      <c r="H57" s="136"/>
      <c r="I57" s="149"/>
      <c r="J57" s="139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43"/>
      <c r="C58" s="134"/>
      <c r="D58" s="135"/>
      <c r="E58" s="135"/>
      <c r="F58" s="136"/>
      <c r="G58" s="134"/>
      <c r="H58" s="136"/>
      <c r="I58" s="149"/>
      <c r="J58" s="139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43"/>
      <c r="C59" s="134"/>
      <c r="D59" s="135"/>
      <c r="E59" s="135"/>
      <c r="F59" s="136"/>
      <c r="G59" s="134"/>
      <c r="H59" s="136"/>
      <c r="I59" s="149"/>
      <c r="J59" s="139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43"/>
      <c r="C60" s="134"/>
      <c r="D60" s="135"/>
      <c r="E60" s="135"/>
      <c r="F60" s="136"/>
      <c r="G60" s="134"/>
      <c r="H60" s="136"/>
      <c r="I60" s="149"/>
      <c r="J60" s="139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43"/>
      <c r="C61" s="134"/>
      <c r="D61" s="135"/>
      <c r="E61" s="135"/>
      <c r="F61" s="136"/>
      <c r="G61" s="134"/>
      <c r="H61" s="136"/>
      <c r="I61" s="149"/>
      <c r="J61" s="139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43"/>
      <c r="C62" s="134"/>
      <c r="D62" s="135"/>
      <c r="E62" s="135"/>
      <c r="F62" s="136"/>
      <c r="G62" s="134"/>
      <c r="H62" s="136"/>
      <c r="I62" s="149"/>
      <c r="J62" s="139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38">
        <f t="shared" ref="B63:F63" si="23">SUM(B57:B62)</f>
        <v>0</v>
      </c>
      <c r="C63" s="139">
        <f t="shared" si="23"/>
        <v>0</v>
      </c>
      <c r="D63" s="139">
        <f t="shared" si="23"/>
        <v>0</v>
      </c>
      <c r="E63" s="139">
        <f t="shared" si="23"/>
        <v>0</v>
      </c>
      <c r="F63" s="139">
        <f t="shared" si="23"/>
        <v>0</v>
      </c>
      <c r="G63" s="134"/>
      <c r="H63" s="139">
        <f>SUM(H57:H62)</f>
        <v>0</v>
      </c>
      <c r="I63" s="149"/>
      <c r="J63" s="139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38">
        <f t="shared" ref="B64:F64" si="24">SUM(B56,B63)</f>
        <v>0</v>
      </c>
      <c r="C64" s="139">
        <f t="shared" si="24"/>
        <v>0</v>
      </c>
      <c r="D64" s="139">
        <f t="shared" si="24"/>
        <v>0</v>
      </c>
      <c r="E64" s="139">
        <f t="shared" si="24"/>
        <v>0</v>
      </c>
      <c r="F64" s="139">
        <f t="shared" si="24"/>
        <v>0</v>
      </c>
      <c r="G64" s="134"/>
      <c r="H64" s="139">
        <f>SUM(H56,H63)</f>
        <v>0</v>
      </c>
      <c r="I64" s="149"/>
      <c r="J64" s="139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43"/>
      <c r="C65" s="134"/>
      <c r="D65" s="134"/>
      <c r="E65" s="145">
        <f t="shared" ref="E65:F65" si="25">E64</f>
        <v>0</v>
      </c>
      <c r="F65" s="145">
        <f t="shared" si="25"/>
        <v>0</v>
      </c>
      <c r="G65" s="134"/>
      <c r="H65" s="145">
        <f>H64</f>
        <v>0</v>
      </c>
      <c r="I65" s="134"/>
      <c r="J65" s="13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44">
        <f t="shared" ref="B66:F66" si="26">+B64-B65</f>
        <v>0</v>
      </c>
      <c r="C66" s="145">
        <f t="shared" si="26"/>
        <v>0</v>
      </c>
      <c r="D66" s="145">
        <f t="shared" si="26"/>
        <v>0</v>
      </c>
      <c r="E66" s="145">
        <f t="shared" si="26"/>
        <v>0</v>
      </c>
      <c r="F66" s="145">
        <f t="shared" si="26"/>
        <v>0</v>
      </c>
      <c r="G66" s="134"/>
      <c r="H66" s="145">
        <f>+H64-H65</f>
        <v>0</v>
      </c>
      <c r="I66" s="134"/>
      <c r="J66" s="139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33"/>
      <c r="C67" s="135"/>
      <c r="D67" s="135"/>
      <c r="E67" s="135"/>
      <c r="F67" s="135"/>
      <c r="G67" s="135"/>
      <c r="H67" s="135"/>
      <c r="I67" s="151"/>
      <c r="J67" s="13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33"/>
      <c r="C68" s="135"/>
      <c r="D68" s="135"/>
      <c r="E68" s="135"/>
      <c r="F68" s="135"/>
      <c r="G68" s="135"/>
      <c r="H68" s="135"/>
      <c r="I68" s="151"/>
      <c r="J68" s="13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15"/>
      <c r="C69" s="114" t="s">
        <v>1</v>
      </c>
      <c r="D69" s="152">
        <f>+D33</f>
        <v>42788</v>
      </c>
      <c r="E69" s="114" t="s">
        <v>2</v>
      </c>
      <c r="F69" s="115"/>
      <c r="G69" s="115"/>
      <c r="H69" s="115"/>
      <c r="I69" s="115"/>
      <c r="J69" s="115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154" t="s">
        <v>56</v>
      </c>
      <c r="C70" s="155" t="s">
        <v>57</v>
      </c>
      <c r="D70" s="156" t="s">
        <v>58</v>
      </c>
      <c r="E70" s="157">
        <f>SUM(C71:C88)</f>
        <v>0</v>
      </c>
      <c r="F70" s="158"/>
      <c r="G70" s="158"/>
      <c r="H70" s="158"/>
      <c r="I70" s="158"/>
      <c r="J70" s="158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160"/>
      <c r="C71" s="161"/>
      <c r="D71" s="162" t="s">
        <v>59</v>
      </c>
      <c r="E71" s="163">
        <f>E70-J45</f>
        <v>0</v>
      </c>
      <c r="F71" s="164" t="s">
        <v>60</v>
      </c>
      <c r="G71" s="158"/>
      <c r="H71" s="158"/>
      <c r="I71" s="158"/>
      <c r="J71" s="158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160"/>
      <c r="C72" s="161"/>
      <c r="D72" s="158"/>
      <c r="E72" s="158"/>
      <c r="F72" s="165" t="s">
        <v>61</v>
      </c>
      <c r="G72" s="165" t="s">
        <v>62</v>
      </c>
      <c r="H72" s="158"/>
      <c r="I72" s="158"/>
      <c r="J72" s="158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160"/>
      <c r="C73" s="161"/>
      <c r="D73" s="162" t="s">
        <v>63</v>
      </c>
      <c r="E73" s="166">
        <f>+J46</f>
        <v>0</v>
      </c>
      <c r="F73" s="167"/>
      <c r="G73" s="168"/>
      <c r="H73" s="158"/>
      <c r="I73" s="158"/>
      <c r="J73" s="158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160"/>
      <c r="C74" s="161"/>
      <c r="D74" s="162" t="s">
        <v>64</v>
      </c>
      <c r="E74" s="166">
        <f t="shared" ref="E74:E76" si="27">+J52</f>
        <v>0</v>
      </c>
      <c r="F74" s="167"/>
      <c r="G74" s="168"/>
      <c r="H74" s="158"/>
      <c r="I74" s="158"/>
      <c r="J74" s="158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160"/>
      <c r="C75" s="161"/>
      <c r="D75" s="162" t="s">
        <v>65</v>
      </c>
      <c r="E75" s="166">
        <f t="shared" si="27"/>
        <v>0</v>
      </c>
      <c r="F75" s="167"/>
      <c r="G75" s="168"/>
      <c r="H75" s="158"/>
      <c r="I75" s="158"/>
      <c r="J75" s="158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160"/>
      <c r="C76" s="161"/>
      <c r="D76" s="162" t="s">
        <v>66</v>
      </c>
      <c r="E76" s="166">
        <f t="shared" si="27"/>
        <v>0</v>
      </c>
      <c r="F76" s="167"/>
      <c r="G76" s="168"/>
      <c r="H76" s="158"/>
      <c r="I76" s="158"/>
      <c r="J76" s="158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160"/>
      <c r="C77" s="161"/>
      <c r="D77" s="162" t="s">
        <v>67</v>
      </c>
      <c r="E77" s="166">
        <f>+J63</f>
        <v>0</v>
      </c>
      <c r="F77" s="167"/>
      <c r="G77" s="168"/>
      <c r="H77" s="158"/>
      <c r="I77" s="158"/>
      <c r="J77" s="158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160"/>
      <c r="C78" s="161"/>
      <c r="D78" s="156" t="s">
        <v>9</v>
      </c>
      <c r="E78" s="169">
        <f>SUM(E70,E73,E74,E75,E76,E77)</f>
        <v>0</v>
      </c>
      <c r="F78" s="167"/>
      <c r="G78" s="168"/>
      <c r="H78" s="158"/>
      <c r="I78" s="158"/>
      <c r="J78" s="158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160"/>
      <c r="C79" s="161"/>
      <c r="D79" s="158"/>
      <c r="E79" s="170"/>
      <c r="F79" s="167"/>
      <c r="G79" s="168"/>
      <c r="H79" s="158"/>
      <c r="I79" s="158"/>
      <c r="J79" s="158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160"/>
      <c r="C80" s="161"/>
      <c r="D80" s="158"/>
      <c r="E80" s="170"/>
      <c r="F80" s="167"/>
      <c r="G80" s="168"/>
      <c r="H80" s="158"/>
      <c r="I80" s="158"/>
      <c r="J80" s="158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160"/>
      <c r="C81" s="161"/>
      <c r="D81" s="158"/>
      <c r="E81" s="170"/>
      <c r="F81" s="167"/>
      <c r="G81" s="168"/>
      <c r="H81" s="158"/>
      <c r="I81" s="158"/>
      <c r="J81" s="158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160"/>
      <c r="C82" s="161"/>
      <c r="D82" s="158"/>
      <c r="E82" s="170"/>
      <c r="F82" s="167"/>
      <c r="G82" s="168"/>
      <c r="H82" s="158"/>
      <c r="I82" s="158"/>
      <c r="J82" s="158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160"/>
      <c r="C83" s="161"/>
      <c r="D83" s="158"/>
      <c r="E83" s="170"/>
      <c r="F83" s="171"/>
      <c r="G83" s="151"/>
      <c r="H83" s="158"/>
      <c r="I83" s="158"/>
      <c r="J83" s="158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160"/>
      <c r="C84" s="161"/>
      <c r="D84" s="158"/>
      <c r="E84" s="158"/>
      <c r="F84" s="158"/>
      <c r="G84" s="158"/>
      <c r="H84" s="158"/>
      <c r="I84" s="158"/>
      <c r="J84" s="158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160"/>
      <c r="C85" s="161"/>
      <c r="D85" s="158"/>
      <c r="E85" s="158"/>
      <c r="F85" s="158"/>
      <c r="G85" s="158"/>
      <c r="H85" s="158"/>
      <c r="I85" s="158"/>
      <c r="J85" s="158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160"/>
      <c r="C86" s="161"/>
      <c r="D86" s="158"/>
      <c r="E86" s="158"/>
      <c r="F86" s="158"/>
      <c r="G86" s="158"/>
      <c r="H86" s="158"/>
      <c r="I86" s="158"/>
      <c r="J86" s="158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0"/>
  <sheetViews>
    <sheetView showGridLines="0" workbookViewId="0">
      <selection activeCell="D17" sqref="D17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8" width="13.7109375" style="118" customWidth="1"/>
    <col min="9" max="9" width="15.14062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42789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3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 t="shared" ref="B9:C9" si="0">SUM(B3:B8)</f>
        <v>0</v>
      </c>
      <c r="C9" s="186">
        <f t="shared" si="0"/>
        <v>0</v>
      </c>
      <c r="D9" s="188"/>
      <c r="E9" s="186">
        <f>SUM(E3:E8)</f>
        <v>0</v>
      </c>
      <c r="F9" s="188"/>
      <c r="G9" s="186">
        <f t="shared" ref="G9:I9" si="1">SUM(G3:G8)</f>
        <v>0</v>
      </c>
      <c r="H9" s="186">
        <f t="shared" si="1"/>
        <v>0</v>
      </c>
      <c r="I9" s="186">
        <f t="shared" si="1"/>
        <v>0</v>
      </c>
      <c r="J9" s="186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 t="shared" ref="B14:C14" si="3">SUM(B10:B13)</f>
        <v>0</v>
      </c>
      <c r="C14" s="186">
        <f t="shared" si="3"/>
        <v>0</v>
      </c>
      <c r="D14" s="188"/>
      <c r="E14" s="186">
        <f>SUM(E10:E13)</f>
        <v>0</v>
      </c>
      <c r="F14" s="188"/>
      <c r="G14" s="186">
        <f t="shared" ref="G14:I14" si="4">SUM(G10:G13)</f>
        <v>0</v>
      </c>
      <c r="H14" s="186">
        <f t="shared" si="4"/>
        <v>0</v>
      </c>
      <c r="I14" s="186">
        <f t="shared" si="4"/>
        <v>0</v>
      </c>
      <c r="J14" s="186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 t="shared" ref="B15:C15" si="5">SUM(B14,B9)</f>
        <v>0</v>
      </c>
      <c r="C15" s="186">
        <f t="shared" si="5"/>
        <v>0</v>
      </c>
      <c r="D15" s="188"/>
      <c r="E15" s="186">
        <f>SUM(E14,E9)</f>
        <v>0</v>
      </c>
      <c r="F15" s="188"/>
      <c r="G15" s="186">
        <f t="shared" ref="G15:I15" si="6">SUM(G14,G9)</f>
        <v>0</v>
      </c>
      <c r="H15" s="186">
        <f t="shared" si="6"/>
        <v>0</v>
      </c>
      <c r="I15" s="186">
        <f t="shared" si="6"/>
        <v>0</v>
      </c>
      <c r="J15" s="186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 t="shared" ref="B19:C19" si="7">SUM(B16:B18)</f>
        <v>0</v>
      </c>
      <c r="C19" s="186">
        <f t="shared" si="7"/>
        <v>0</v>
      </c>
      <c r="D19" s="188"/>
      <c r="E19" s="186">
        <f>SUM(E16:E18)</f>
        <v>0</v>
      </c>
      <c r="F19" s="188"/>
      <c r="G19" s="186">
        <f t="shared" ref="G19:I19" si="8">SUM(G16:G18)</f>
        <v>0</v>
      </c>
      <c r="H19" s="186">
        <f t="shared" si="8"/>
        <v>0</v>
      </c>
      <c r="I19" s="186">
        <f t="shared" si="8"/>
        <v>0</v>
      </c>
      <c r="J19" s="186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 t="shared" ref="B20:C20" si="9">SUM(B15,B19)</f>
        <v>0</v>
      </c>
      <c r="C20" s="186">
        <f t="shared" si="9"/>
        <v>0</v>
      </c>
      <c r="D20" s="188"/>
      <c r="E20" s="186">
        <f>SUM(E15,E19)</f>
        <v>0</v>
      </c>
      <c r="F20" s="188"/>
      <c r="G20" s="186">
        <f t="shared" ref="G20:I20" si="10">SUM(G15,G19)</f>
        <v>0</v>
      </c>
      <c r="H20" s="186">
        <f t="shared" si="10"/>
        <v>0</v>
      </c>
      <c r="I20" s="186">
        <f t="shared" si="10"/>
        <v>0</v>
      </c>
      <c r="J20" s="186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 t="shared" ref="B27:C27" si="11">SUM(B21:B26)</f>
        <v>0</v>
      </c>
      <c r="C27" s="186">
        <f t="shared" si="11"/>
        <v>0</v>
      </c>
      <c r="D27" s="188"/>
      <c r="E27" s="186">
        <f>SUM(E21:E26)</f>
        <v>0</v>
      </c>
      <c r="F27" s="188"/>
      <c r="G27" s="186">
        <f t="shared" ref="G27:I27" si="12">SUM(G21:G26)</f>
        <v>0</v>
      </c>
      <c r="H27" s="186">
        <f t="shared" si="12"/>
        <v>0</v>
      </c>
      <c r="I27" s="186">
        <f t="shared" si="12"/>
        <v>0</v>
      </c>
      <c r="J27" s="186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 t="shared" ref="B28:C28" si="13">SUM(B20,B27)</f>
        <v>0</v>
      </c>
      <c r="C28" s="186">
        <f t="shared" si="13"/>
        <v>0</v>
      </c>
      <c r="D28" s="188"/>
      <c r="E28" s="186">
        <f>SUM(E20,E27)</f>
        <v>0</v>
      </c>
      <c r="F28" s="188"/>
      <c r="G28" s="186">
        <f t="shared" ref="G28:I28" si="14">SUM(G20,G27)</f>
        <v>0</v>
      </c>
      <c r="H28" s="186">
        <f t="shared" si="14"/>
        <v>0</v>
      </c>
      <c r="I28" s="186">
        <f t="shared" si="14"/>
        <v>0</v>
      </c>
      <c r="J28" s="186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 t="shared" ref="B30:C30" si="15">+B28-B29</f>
        <v>0</v>
      </c>
      <c r="C30" s="184">
        <f t="shared" si="15"/>
        <v>0</v>
      </c>
      <c r="D30" s="184"/>
      <c r="E30" s="184">
        <f>+E28-E29</f>
        <v>0</v>
      </c>
      <c r="F30" s="184"/>
      <c r="G30" s="184">
        <f t="shared" ref="G30:I30" si="16">+G28-G29</f>
        <v>0</v>
      </c>
      <c r="H30" s="184">
        <f t="shared" si="16"/>
        <v>0</v>
      </c>
      <c r="I30" s="184">
        <f t="shared" si="16"/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42789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84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3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3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3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 t="shared" ref="B45:F45" si="17">SUM(B35:B44)</f>
        <v>0</v>
      </c>
      <c r="C45" s="186">
        <f t="shared" si="17"/>
        <v>0</v>
      </c>
      <c r="D45" s="186">
        <f t="shared" si="17"/>
        <v>0</v>
      </c>
      <c r="E45" s="186">
        <f t="shared" si="17"/>
        <v>0</v>
      </c>
      <c r="F45" s="186">
        <f t="shared" si="17"/>
        <v>0</v>
      </c>
      <c r="G45" s="188"/>
      <c r="H45" s="186">
        <f>SUM(H35:H44)</f>
        <v>0</v>
      </c>
      <c r="I45" s="194"/>
      <c r="J45" s="186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 t="shared" ref="B50:F50" si="19">SUM(B46:B49)</f>
        <v>0</v>
      </c>
      <c r="C50" s="186">
        <f t="shared" si="19"/>
        <v>0</v>
      </c>
      <c r="D50" s="186">
        <f t="shared" si="19"/>
        <v>0</v>
      </c>
      <c r="E50" s="186">
        <f t="shared" si="19"/>
        <v>0</v>
      </c>
      <c r="F50" s="186">
        <f t="shared" si="19"/>
        <v>0</v>
      </c>
      <c r="G50" s="188"/>
      <c r="H50" s="186"/>
      <c r="I50" s="194"/>
      <c r="J50" s="186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 t="shared" ref="B51:F51" si="20">SUM(B50,B45)</f>
        <v>0</v>
      </c>
      <c r="C51" s="186">
        <f t="shared" si="20"/>
        <v>0</v>
      </c>
      <c r="D51" s="186">
        <f t="shared" si="20"/>
        <v>0</v>
      </c>
      <c r="E51" s="186">
        <f t="shared" si="20"/>
        <v>0</v>
      </c>
      <c r="F51" s="186">
        <f t="shared" si="20"/>
        <v>0</v>
      </c>
      <c r="G51" s="188"/>
      <c r="H51" s="186">
        <f>SUM(H50,H45)</f>
        <v>0</v>
      </c>
      <c r="I51" s="194"/>
      <c r="J51" s="186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 t="shared" ref="B55:F55" si="21">SUM(B52:B54)</f>
        <v>0</v>
      </c>
      <c r="C55" s="186">
        <f t="shared" si="21"/>
        <v>0</v>
      </c>
      <c r="D55" s="186">
        <f t="shared" si="21"/>
        <v>0</v>
      </c>
      <c r="E55" s="186">
        <f t="shared" si="21"/>
        <v>0</v>
      </c>
      <c r="F55" s="186">
        <f t="shared" si="21"/>
        <v>0</v>
      </c>
      <c r="G55" s="188"/>
      <c r="H55" s="186">
        <f>SUM(H52:H54)</f>
        <v>0</v>
      </c>
      <c r="I55" s="194"/>
      <c r="J55" s="186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 t="shared" ref="B56:F56" si="22">SUM(B51,B55)</f>
        <v>0</v>
      </c>
      <c r="C56" s="186">
        <f t="shared" si="22"/>
        <v>0</v>
      </c>
      <c r="D56" s="186">
        <f t="shared" si="22"/>
        <v>0</v>
      </c>
      <c r="E56" s="186">
        <f t="shared" si="22"/>
        <v>0</v>
      </c>
      <c r="F56" s="186">
        <f t="shared" si="22"/>
        <v>0</v>
      </c>
      <c r="G56" s="188"/>
      <c r="H56" s="186">
        <f>SUM(H51,H55)</f>
        <v>0</v>
      </c>
      <c r="I56" s="194"/>
      <c r="J56" s="186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 t="shared" ref="B63:F63" si="23">SUM(B57:B62)</f>
        <v>0</v>
      </c>
      <c r="C63" s="186">
        <f t="shared" si="23"/>
        <v>0</v>
      </c>
      <c r="D63" s="186">
        <f t="shared" si="23"/>
        <v>0</v>
      </c>
      <c r="E63" s="186">
        <f t="shared" si="23"/>
        <v>0</v>
      </c>
      <c r="F63" s="186">
        <f t="shared" si="23"/>
        <v>0</v>
      </c>
      <c r="G63" s="188"/>
      <c r="H63" s="186">
        <f>SUM(H57:H62)</f>
        <v>0</v>
      </c>
      <c r="I63" s="194"/>
      <c r="J63" s="186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 t="shared" ref="B64:F64" si="24">SUM(B56,B63)</f>
        <v>0</v>
      </c>
      <c r="C64" s="186">
        <f t="shared" si="24"/>
        <v>0</v>
      </c>
      <c r="D64" s="186">
        <f t="shared" si="24"/>
        <v>0</v>
      </c>
      <c r="E64" s="186">
        <f t="shared" si="24"/>
        <v>0</v>
      </c>
      <c r="F64" s="186">
        <f t="shared" si="24"/>
        <v>0</v>
      </c>
      <c r="G64" s="188"/>
      <c r="H64" s="186">
        <f>SUM(H56,H63)</f>
        <v>0</v>
      </c>
      <c r="I64" s="194"/>
      <c r="J64" s="186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>
        <f t="shared" ref="E65:F65" si="25">E64</f>
        <v>0</v>
      </c>
      <c r="F65" s="184">
        <f t="shared" si="25"/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 t="shared" ref="B66:F66" si="26">+B64-B65</f>
        <v>0</v>
      </c>
      <c r="C66" s="184">
        <f t="shared" si="26"/>
        <v>0</v>
      </c>
      <c r="D66" s="184">
        <f t="shared" si="26"/>
        <v>0</v>
      </c>
      <c r="E66" s="184">
        <f t="shared" si="26"/>
        <v>0</v>
      </c>
      <c r="F66" s="184">
        <f t="shared" si="26"/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42789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 t="shared" ref="E74:E76" si="27"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 t="shared" si="27"/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 t="shared" si="27"/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00"/>
  <sheetViews>
    <sheetView showGridLines="0" workbookViewId="0">
      <selection activeCell="D17" sqref="D17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42790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 t="shared" ref="B9:C9" si="0">SUM(B3:B8)</f>
        <v>0</v>
      </c>
      <c r="C9" s="186">
        <f t="shared" si="0"/>
        <v>0</v>
      </c>
      <c r="D9" s="188"/>
      <c r="E9" s="186">
        <f>SUM(E3:E8)</f>
        <v>0</v>
      </c>
      <c r="F9" s="188"/>
      <c r="G9" s="186">
        <f t="shared" ref="G9:I9" si="1">SUM(G3:G8)</f>
        <v>0</v>
      </c>
      <c r="H9" s="186">
        <f t="shared" si="1"/>
        <v>0</v>
      </c>
      <c r="I9" s="186">
        <f t="shared" si="1"/>
        <v>0</v>
      </c>
      <c r="J9" s="186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 t="shared" ref="B14:C14" si="3">SUM(B10:B13)</f>
        <v>0</v>
      </c>
      <c r="C14" s="186">
        <f t="shared" si="3"/>
        <v>0</v>
      </c>
      <c r="D14" s="188"/>
      <c r="E14" s="186">
        <f>SUM(E10:E13)</f>
        <v>0</v>
      </c>
      <c r="F14" s="188"/>
      <c r="G14" s="186">
        <f t="shared" ref="G14:I14" si="4">SUM(G10:G13)</f>
        <v>0</v>
      </c>
      <c r="H14" s="186">
        <f t="shared" si="4"/>
        <v>0</v>
      </c>
      <c r="I14" s="186">
        <f t="shared" si="4"/>
        <v>0</v>
      </c>
      <c r="J14" s="186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 t="shared" ref="B15:C15" si="5">SUM(B14,B9)</f>
        <v>0</v>
      </c>
      <c r="C15" s="186">
        <f t="shared" si="5"/>
        <v>0</v>
      </c>
      <c r="D15" s="188"/>
      <c r="E15" s="186">
        <f>SUM(E14,E9)</f>
        <v>0</v>
      </c>
      <c r="F15" s="188"/>
      <c r="G15" s="186">
        <f t="shared" ref="G15:I15" si="6">SUM(G14,G9)</f>
        <v>0</v>
      </c>
      <c r="H15" s="186">
        <f t="shared" si="6"/>
        <v>0</v>
      </c>
      <c r="I15" s="186">
        <f t="shared" si="6"/>
        <v>0</v>
      </c>
      <c r="J15" s="186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 t="shared" ref="B19:C19" si="7">SUM(B16:B18)</f>
        <v>0</v>
      </c>
      <c r="C19" s="186">
        <f t="shared" si="7"/>
        <v>0</v>
      </c>
      <c r="D19" s="188"/>
      <c r="E19" s="186">
        <f>SUM(E16:E18)</f>
        <v>0</v>
      </c>
      <c r="F19" s="188"/>
      <c r="G19" s="186">
        <f t="shared" ref="G19:I19" si="8">SUM(G16:G18)</f>
        <v>0</v>
      </c>
      <c r="H19" s="186">
        <f t="shared" si="8"/>
        <v>0</v>
      </c>
      <c r="I19" s="186">
        <f t="shared" si="8"/>
        <v>0</v>
      </c>
      <c r="J19" s="186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 t="shared" ref="B20:C20" si="9">SUM(B15,B19)</f>
        <v>0</v>
      </c>
      <c r="C20" s="186">
        <f t="shared" si="9"/>
        <v>0</v>
      </c>
      <c r="D20" s="188"/>
      <c r="E20" s="186">
        <f>SUM(E15,E19)</f>
        <v>0</v>
      </c>
      <c r="F20" s="188"/>
      <c r="G20" s="186">
        <f t="shared" ref="G20:I20" si="10">SUM(G15,G19)</f>
        <v>0</v>
      </c>
      <c r="H20" s="186">
        <f t="shared" si="10"/>
        <v>0</v>
      </c>
      <c r="I20" s="186">
        <f t="shared" si="10"/>
        <v>0</v>
      </c>
      <c r="J20" s="186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 t="shared" ref="B27:C27" si="11">SUM(B21:B26)</f>
        <v>0</v>
      </c>
      <c r="C27" s="186">
        <f t="shared" si="11"/>
        <v>0</v>
      </c>
      <c r="D27" s="188"/>
      <c r="E27" s="186">
        <f>SUM(E21:E26)</f>
        <v>0</v>
      </c>
      <c r="F27" s="188"/>
      <c r="G27" s="186">
        <f t="shared" ref="G27:I27" si="12">SUM(G21:G26)</f>
        <v>0</v>
      </c>
      <c r="H27" s="186">
        <f t="shared" si="12"/>
        <v>0</v>
      </c>
      <c r="I27" s="186">
        <f t="shared" si="12"/>
        <v>0</v>
      </c>
      <c r="J27" s="186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 t="shared" ref="B28:C28" si="13">SUM(B20,B27)</f>
        <v>0</v>
      </c>
      <c r="C28" s="186">
        <f t="shared" si="13"/>
        <v>0</v>
      </c>
      <c r="D28" s="188"/>
      <c r="E28" s="186">
        <f>SUM(E20,E27)</f>
        <v>0</v>
      </c>
      <c r="F28" s="188"/>
      <c r="G28" s="186">
        <f t="shared" ref="G28:I28" si="14">SUM(G20,G27)</f>
        <v>0</v>
      </c>
      <c r="H28" s="186">
        <f t="shared" si="14"/>
        <v>0</v>
      </c>
      <c r="I28" s="186">
        <f t="shared" si="14"/>
        <v>0</v>
      </c>
      <c r="J28" s="186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 t="shared" ref="B30:C30" si="15">+B28-B29</f>
        <v>0</v>
      </c>
      <c r="C30" s="184">
        <f t="shared" si="15"/>
        <v>0</v>
      </c>
      <c r="D30" s="184"/>
      <c r="E30" s="184">
        <f>+E28-E29</f>
        <v>0</v>
      </c>
      <c r="F30" s="184"/>
      <c r="G30" s="184">
        <f t="shared" ref="G30:I30" si="16">+G28-G29</f>
        <v>0</v>
      </c>
      <c r="H30" s="184">
        <f t="shared" si="16"/>
        <v>0</v>
      </c>
      <c r="I30" s="184">
        <f t="shared" si="16"/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42790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 t="shared" ref="B45:F45" si="17">SUM(B35:B44)</f>
        <v>0</v>
      </c>
      <c r="C45" s="186">
        <f t="shared" si="17"/>
        <v>0</v>
      </c>
      <c r="D45" s="186">
        <f t="shared" si="17"/>
        <v>0</v>
      </c>
      <c r="E45" s="186">
        <f t="shared" si="17"/>
        <v>0</v>
      </c>
      <c r="F45" s="186">
        <f t="shared" si="17"/>
        <v>0</v>
      </c>
      <c r="G45" s="188"/>
      <c r="H45" s="186">
        <f>SUM(H35:H44)</f>
        <v>0</v>
      </c>
      <c r="I45" s="194"/>
      <c r="J45" s="186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 t="shared" ref="B50:F50" si="19">SUM(B46:B49)</f>
        <v>0</v>
      </c>
      <c r="C50" s="186">
        <f t="shared" si="19"/>
        <v>0</v>
      </c>
      <c r="D50" s="186">
        <f t="shared" si="19"/>
        <v>0</v>
      </c>
      <c r="E50" s="186">
        <f t="shared" si="19"/>
        <v>0</v>
      </c>
      <c r="F50" s="186">
        <f t="shared" si="19"/>
        <v>0</v>
      </c>
      <c r="G50" s="188"/>
      <c r="H50" s="186"/>
      <c r="I50" s="194"/>
      <c r="J50" s="186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 t="shared" ref="B51:F51" si="20">SUM(B50,B45)</f>
        <v>0</v>
      </c>
      <c r="C51" s="186">
        <f t="shared" si="20"/>
        <v>0</v>
      </c>
      <c r="D51" s="186">
        <f t="shared" si="20"/>
        <v>0</v>
      </c>
      <c r="E51" s="186">
        <f t="shared" si="20"/>
        <v>0</v>
      </c>
      <c r="F51" s="186">
        <f t="shared" si="20"/>
        <v>0</v>
      </c>
      <c r="G51" s="188"/>
      <c r="H51" s="186">
        <f>SUM(H50,H45)</f>
        <v>0</v>
      </c>
      <c r="I51" s="194"/>
      <c r="J51" s="186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 t="shared" ref="B55:F55" si="21">SUM(B52:B54)</f>
        <v>0</v>
      </c>
      <c r="C55" s="186">
        <f t="shared" si="21"/>
        <v>0</v>
      </c>
      <c r="D55" s="186">
        <f t="shared" si="21"/>
        <v>0</v>
      </c>
      <c r="E55" s="186">
        <f t="shared" si="21"/>
        <v>0</v>
      </c>
      <c r="F55" s="186">
        <f t="shared" si="21"/>
        <v>0</v>
      </c>
      <c r="G55" s="188"/>
      <c r="H55" s="186">
        <f>SUM(H52:H54)</f>
        <v>0</v>
      </c>
      <c r="I55" s="194"/>
      <c r="J55" s="186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 t="shared" ref="B56:F56" si="22">SUM(B51,B55)</f>
        <v>0</v>
      </c>
      <c r="C56" s="186">
        <f t="shared" si="22"/>
        <v>0</v>
      </c>
      <c r="D56" s="186">
        <f t="shared" si="22"/>
        <v>0</v>
      </c>
      <c r="E56" s="186">
        <f t="shared" si="22"/>
        <v>0</v>
      </c>
      <c r="F56" s="186">
        <f t="shared" si="22"/>
        <v>0</v>
      </c>
      <c r="G56" s="188"/>
      <c r="H56" s="186">
        <f>SUM(H51,H55)</f>
        <v>0</v>
      </c>
      <c r="I56" s="194"/>
      <c r="J56" s="186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 t="shared" ref="B63:F63" si="23">SUM(B57:B62)</f>
        <v>0</v>
      </c>
      <c r="C63" s="186">
        <f t="shared" si="23"/>
        <v>0</v>
      </c>
      <c r="D63" s="186">
        <f t="shared" si="23"/>
        <v>0</v>
      </c>
      <c r="E63" s="186">
        <f t="shared" si="23"/>
        <v>0</v>
      </c>
      <c r="F63" s="186">
        <f t="shared" si="23"/>
        <v>0</v>
      </c>
      <c r="G63" s="188"/>
      <c r="H63" s="186">
        <f>SUM(H57:H62)</f>
        <v>0</v>
      </c>
      <c r="I63" s="194"/>
      <c r="J63" s="186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 t="shared" ref="B64:F64" si="24">SUM(B56,B63)</f>
        <v>0</v>
      </c>
      <c r="C64" s="186">
        <f t="shared" si="24"/>
        <v>0</v>
      </c>
      <c r="D64" s="186">
        <f t="shared" si="24"/>
        <v>0</v>
      </c>
      <c r="E64" s="186">
        <f t="shared" si="24"/>
        <v>0</v>
      </c>
      <c r="F64" s="186">
        <f t="shared" si="24"/>
        <v>0</v>
      </c>
      <c r="G64" s="188"/>
      <c r="H64" s="186">
        <f>SUM(H56,H63)</f>
        <v>0</v>
      </c>
      <c r="I64" s="194"/>
      <c r="J64" s="186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/>
      <c r="F65" s="184"/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 t="shared" ref="B66:F66" si="25">+B64-B65</f>
        <v>0</v>
      </c>
      <c r="C66" s="184">
        <f t="shared" si="25"/>
        <v>0</v>
      </c>
      <c r="D66" s="184">
        <f t="shared" si="25"/>
        <v>0</v>
      </c>
      <c r="E66" s="184">
        <f t="shared" si="25"/>
        <v>0</v>
      </c>
      <c r="F66" s="184">
        <f t="shared" si="25"/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42790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 t="shared" ref="E74:E76" si="26"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 t="shared" si="26"/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 t="shared" si="26"/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42791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/>
      <c r="V1" s="117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 t="shared" ref="B9:C9" si="0">SUM(B3:B8)</f>
        <v>0</v>
      </c>
      <c r="C9" s="186">
        <f t="shared" si="0"/>
        <v>0</v>
      </c>
      <c r="D9" s="188"/>
      <c r="E9" s="186">
        <f>SUM(E3:E8)</f>
        <v>0</v>
      </c>
      <c r="F9" s="188"/>
      <c r="G9" s="186">
        <f t="shared" ref="G9:I9" si="1">SUM(G3:G8)</f>
        <v>0</v>
      </c>
      <c r="H9" s="186">
        <f t="shared" si="1"/>
        <v>0</v>
      </c>
      <c r="I9" s="186">
        <f t="shared" si="1"/>
        <v>0</v>
      </c>
      <c r="J9" s="186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 t="shared" ref="B14:C14" si="3">SUM(B10:B13)</f>
        <v>0</v>
      </c>
      <c r="C14" s="186">
        <f t="shared" si="3"/>
        <v>0</v>
      </c>
      <c r="D14" s="188"/>
      <c r="E14" s="186">
        <f>SUM(E10:E13)</f>
        <v>0</v>
      </c>
      <c r="F14" s="188"/>
      <c r="G14" s="186">
        <f t="shared" ref="G14:I14" si="4">SUM(G10:G13)</f>
        <v>0</v>
      </c>
      <c r="H14" s="186">
        <f t="shared" si="4"/>
        <v>0</v>
      </c>
      <c r="I14" s="186">
        <f t="shared" si="4"/>
        <v>0</v>
      </c>
      <c r="J14" s="186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 t="shared" ref="B15:C15" si="5">SUM(B14,B9)</f>
        <v>0</v>
      </c>
      <c r="C15" s="186">
        <f t="shared" si="5"/>
        <v>0</v>
      </c>
      <c r="D15" s="188"/>
      <c r="E15" s="186">
        <f>SUM(E14,E9)</f>
        <v>0</v>
      </c>
      <c r="F15" s="188"/>
      <c r="G15" s="186">
        <f t="shared" ref="G15:I15" si="6">SUM(G14,G9)</f>
        <v>0</v>
      </c>
      <c r="H15" s="186">
        <f t="shared" si="6"/>
        <v>0</v>
      </c>
      <c r="I15" s="186">
        <f t="shared" si="6"/>
        <v>0</v>
      </c>
      <c r="J15" s="186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 t="shared" ref="B19:C19" si="7">SUM(B16:B18)</f>
        <v>0</v>
      </c>
      <c r="C19" s="186">
        <f t="shared" si="7"/>
        <v>0</v>
      </c>
      <c r="D19" s="188"/>
      <c r="E19" s="186">
        <f>SUM(E16:E18)</f>
        <v>0</v>
      </c>
      <c r="F19" s="188"/>
      <c r="G19" s="186">
        <f t="shared" ref="G19:I19" si="8">SUM(G16:G18)</f>
        <v>0</v>
      </c>
      <c r="H19" s="186">
        <f t="shared" si="8"/>
        <v>0</v>
      </c>
      <c r="I19" s="186">
        <f t="shared" si="8"/>
        <v>0</v>
      </c>
      <c r="J19" s="186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 t="shared" ref="B20:C20" si="9">SUM(B15,B19)</f>
        <v>0</v>
      </c>
      <c r="C20" s="186">
        <f t="shared" si="9"/>
        <v>0</v>
      </c>
      <c r="D20" s="188"/>
      <c r="E20" s="186">
        <f>SUM(E15,E19)</f>
        <v>0</v>
      </c>
      <c r="F20" s="188"/>
      <c r="G20" s="186">
        <f t="shared" ref="G20:I20" si="10">SUM(G15,G19)</f>
        <v>0</v>
      </c>
      <c r="H20" s="186">
        <f t="shared" si="10"/>
        <v>0</v>
      </c>
      <c r="I20" s="186">
        <f t="shared" si="10"/>
        <v>0</v>
      </c>
      <c r="J20" s="186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 t="shared" ref="B27:C27" si="11">SUM(B21:B26)</f>
        <v>0</v>
      </c>
      <c r="C27" s="186">
        <f t="shared" si="11"/>
        <v>0</v>
      </c>
      <c r="D27" s="188"/>
      <c r="E27" s="186">
        <f>SUM(E21:E26)</f>
        <v>0</v>
      </c>
      <c r="F27" s="188"/>
      <c r="G27" s="186">
        <f t="shared" ref="G27:I27" si="12">SUM(G21:G26)</f>
        <v>0</v>
      </c>
      <c r="H27" s="186">
        <f t="shared" si="12"/>
        <v>0</v>
      </c>
      <c r="I27" s="186">
        <f t="shared" si="12"/>
        <v>0</v>
      </c>
      <c r="J27" s="186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 t="shared" ref="B28:C28" si="13">SUM(B20,B27)</f>
        <v>0</v>
      </c>
      <c r="C28" s="186">
        <f t="shared" si="13"/>
        <v>0</v>
      </c>
      <c r="D28" s="188"/>
      <c r="E28" s="186">
        <f>SUM(E20,E27)</f>
        <v>0</v>
      </c>
      <c r="F28" s="188"/>
      <c r="G28" s="186">
        <f t="shared" ref="G28:I28" si="14">SUM(G20,G27)</f>
        <v>0</v>
      </c>
      <c r="H28" s="186">
        <f t="shared" si="14"/>
        <v>0</v>
      </c>
      <c r="I28" s="186">
        <f t="shared" si="14"/>
        <v>0</v>
      </c>
      <c r="J28" s="186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 t="shared" ref="B30:C30" si="15">+B28-B29</f>
        <v>0</v>
      </c>
      <c r="C30" s="184">
        <f t="shared" si="15"/>
        <v>0</v>
      </c>
      <c r="D30" s="184"/>
      <c r="E30" s="184">
        <f>+E28-E29</f>
        <v>0</v>
      </c>
      <c r="F30" s="184"/>
      <c r="G30" s="184">
        <f t="shared" ref="G30:I30" si="16">+G28-G29</f>
        <v>0</v>
      </c>
      <c r="H30" s="184">
        <f t="shared" si="16"/>
        <v>0</v>
      </c>
      <c r="I30" s="184">
        <f t="shared" si="16"/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42791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 t="shared" ref="B45:F45" si="17">SUM(B35:B44)</f>
        <v>0</v>
      </c>
      <c r="C45" s="186">
        <f t="shared" si="17"/>
        <v>0</v>
      </c>
      <c r="D45" s="186">
        <f t="shared" si="17"/>
        <v>0</v>
      </c>
      <c r="E45" s="186">
        <f t="shared" si="17"/>
        <v>0</v>
      </c>
      <c r="F45" s="186">
        <f t="shared" si="17"/>
        <v>0</v>
      </c>
      <c r="G45" s="188"/>
      <c r="H45" s="186">
        <f>SUM(H35:H44)</f>
        <v>0</v>
      </c>
      <c r="I45" s="194"/>
      <c r="J45" s="186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 t="shared" ref="B50:F50" si="19">SUM(B46:B49)</f>
        <v>0</v>
      </c>
      <c r="C50" s="186">
        <f t="shared" si="19"/>
        <v>0</v>
      </c>
      <c r="D50" s="186">
        <f t="shared" si="19"/>
        <v>0</v>
      </c>
      <c r="E50" s="186">
        <f t="shared" si="19"/>
        <v>0</v>
      </c>
      <c r="F50" s="186">
        <f t="shared" si="19"/>
        <v>0</v>
      </c>
      <c r="G50" s="188"/>
      <c r="H50" s="186"/>
      <c r="I50" s="194"/>
      <c r="J50" s="186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 t="shared" ref="B51:F51" si="20">SUM(B50,B45)</f>
        <v>0</v>
      </c>
      <c r="C51" s="186">
        <f t="shared" si="20"/>
        <v>0</v>
      </c>
      <c r="D51" s="186">
        <f t="shared" si="20"/>
        <v>0</v>
      </c>
      <c r="E51" s="186">
        <f t="shared" si="20"/>
        <v>0</v>
      </c>
      <c r="F51" s="186">
        <f t="shared" si="20"/>
        <v>0</v>
      </c>
      <c r="G51" s="188"/>
      <c r="H51" s="186">
        <f>SUM(H50,H45)</f>
        <v>0</v>
      </c>
      <c r="I51" s="194"/>
      <c r="J51" s="186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 t="shared" ref="B55:F55" si="21">SUM(B52:B54)</f>
        <v>0</v>
      </c>
      <c r="C55" s="186">
        <f t="shared" si="21"/>
        <v>0</v>
      </c>
      <c r="D55" s="186">
        <f t="shared" si="21"/>
        <v>0</v>
      </c>
      <c r="E55" s="186">
        <f t="shared" si="21"/>
        <v>0</v>
      </c>
      <c r="F55" s="186">
        <f t="shared" si="21"/>
        <v>0</v>
      </c>
      <c r="G55" s="188"/>
      <c r="H55" s="186">
        <f>SUM(H52:H54)</f>
        <v>0</v>
      </c>
      <c r="I55" s="194"/>
      <c r="J55" s="186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 t="shared" ref="B56:F56" si="22">SUM(B51,B55)</f>
        <v>0</v>
      </c>
      <c r="C56" s="186">
        <f t="shared" si="22"/>
        <v>0</v>
      </c>
      <c r="D56" s="186">
        <f t="shared" si="22"/>
        <v>0</v>
      </c>
      <c r="E56" s="186">
        <f t="shared" si="22"/>
        <v>0</v>
      </c>
      <c r="F56" s="186">
        <f t="shared" si="22"/>
        <v>0</v>
      </c>
      <c r="G56" s="188"/>
      <c r="H56" s="186">
        <f>SUM(H51,H55)</f>
        <v>0</v>
      </c>
      <c r="I56" s="194"/>
      <c r="J56" s="186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 t="shared" ref="B63:F63" si="23">SUM(B57:B62)</f>
        <v>0</v>
      </c>
      <c r="C63" s="186">
        <f t="shared" si="23"/>
        <v>0</v>
      </c>
      <c r="D63" s="186">
        <f t="shared" si="23"/>
        <v>0</v>
      </c>
      <c r="E63" s="186">
        <f t="shared" si="23"/>
        <v>0</v>
      </c>
      <c r="F63" s="186">
        <f t="shared" si="23"/>
        <v>0</v>
      </c>
      <c r="G63" s="188"/>
      <c r="H63" s="186">
        <f>SUM(H57:H62)</f>
        <v>0</v>
      </c>
      <c r="I63" s="194"/>
      <c r="J63" s="186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 t="shared" ref="B64:F64" si="24">SUM(B56,B63)</f>
        <v>0</v>
      </c>
      <c r="C64" s="186">
        <f t="shared" si="24"/>
        <v>0</v>
      </c>
      <c r="D64" s="186">
        <f t="shared" si="24"/>
        <v>0</v>
      </c>
      <c r="E64" s="186">
        <f t="shared" si="24"/>
        <v>0</v>
      </c>
      <c r="F64" s="186">
        <f t="shared" si="24"/>
        <v>0</v>
      </c>
      <c r="G64" s="188"/>
      <c r="H64" s="186">
        <f>SUM(H56,H63)</f>
        <v>0</v>
      </c>
      <c r="I64" s="194"/>
      <c r="J64" s="186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>
        <f t="shared" ref="E65:F65" si="25">E64</f>
        <v>0</v>
      </c>
      <c r="F65" s="184">
        <f t="shared" si="25"/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 t="shared" ref="B66:F66" si="26">+B64-B65</f>
        <v>0</v>
      </c>
      <c r="C66" s="184">
        <f t="shared" si="26"/>
        <v>0</v>
      </c>
      <c r="D66" s="184">
        <f t="shared" si="26"/>
        <v>0</v>
      </c>
      <c r="E66" s="184">
        <f t="shared" si="26"/>
        <v>0</v>
      </c>
      <c r="F66" s="184">
        <f t="shared" si="26"/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42791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 t="shared" ref="E74:E76" si="27"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 t="shared" si="27"/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 t="shared" si="27"/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42792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 t="shared" ref="B9:C9" si="0">SUM(B3:B8)</f>
        <v>0</v>
      </c>
      <c r="C9" s="186">
        <f t="shared" si="0"/>
        <v>0</v>
      </c>
      <c r="D9" s="188"/>
      <c r="E9" s="186">
        <f>SUM(E3:E8)</f>
        <v>0</v>
      </c>
      <c r="F9" s="188"/>
      <c r="G9" s="186">
        <f t="shared" ref="G9:I9" si="1">SUM(G3:G8)</f>
        <v>0</v>
      </c>
      <c r="H9" s="186">
        <f t="shared" si="1"/>
        <v>0</v>
      </c>
      <c r="I9" s="186">
        <f t="shared" si="1"/>
        <v>0</v>
      </c>
      <c r="J9" s="186">
        <f t="shared" ref="J9:J28" si="2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2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2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2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2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 t="shared" ref="B14:C14" si="3">SUM(B10:B13)</f>
        <v>0</v>
      </c>
      <c r="C14" s="186">
        <f t="shared" si="3"/>
        <v>0</v>
      </c>
      <c r="D14" s="188"/>
      <c r="E14" s="186">
        <f>SUM(E10:E13)</f>
        <v>0</v>
      </c>
      <c r="F14" s="188"/>
      <c r="G14" s="186">
        <f t="shared" ref="G14:I14" si="4">SUM(G10:G13)</f>
        <v>0</v>
      </c>
      <c r="H14" s="186">
        <f t="shared" si="4"/>
        <v>0</v>
      </c>
      <c r="I14" s="186">
        <f t="shared" si="4"/>
        <v>0</v>
      </c>
      <c r="J14" s="186">
        <f t="shared" si="2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 t="shared" ref="B15:C15" si="5">SUM(B14,B9)</f>
        <v>0</v>
      </c>
      <c r="C15" s="186">
        <f t="shared" si="5"/>
        <v>0</v>
      </c>
      <c r="D15" s="188"/>
      <c r="E15" s="186">
        <f>SUM(E14,E9)</f>
        <v>0</v>
      </c>
      <c r="F15" s="188"/>
      <c r="G15" s="186">
        <f t="shared" ref="G15:I15" si="6">SUM(G14,G9)</f>
        <v>0</v>
      </c>
      <c r="H15" s="186">
        <f t="shared" si="6"/>
        <v>0</v>
      </c>
      <c r="I15" s="186">
        <f t="shared" si="6"/>
        <v>0</v>
      </c>
      <c r="J15" s="186">
        <f t="shared" si="2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2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2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2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 t="shared" ref="B19:C19" si="7">SUM(B16:B18)</f>
        <v>0</v>
      </c>
      <c r="C19" s="186">
        <f t="shared" si="7"/>
        <v>0</v>
      </c>
      <c r="D19" s="188"/>
      <c r="E19" s="186">
        <f>SUM(E16:E18)</f>
        <v>0</v>
      </c>
      <c r="F19" s="188"/>
      <c r="G19" s="186">
        <f t="shared" ref="G19:I19" si="8">SUM(G16:G18)</f>
        <v>0</v>
      </c>
      <c r="H19" s="186">
        <f t="shared" si="8"/>
        <v>0</v>
      </c>
      <c r="I19" s="186">
        <f t="shared" si="8"/>
        <v>0</v>
      </c>
      <c r="J19" s="186">
        <f t="shared" si="2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 t="shared" ref="B20:C20" si="9">SUM(B15,B19)</f>
        <v>0</v>
      </c>
      <c r="C20" s="186">
        <f t="shared" si="9"/>
        <v>0</v>
      </c>
      <c r="D20" s="188"/>
      <c r="E20" s="186">
        <f>SUM(E15,E19)</f>
        <v>0</v>
      </c>
      <c r="F20" s="188"/>
      <c r="G20" s="186">
        <f t="shared" ref="G20:I20" si="10">SUM(G15,G19)</f>
        <v>0</v>
      </c>
      <c r="H20" s="186">
        <f t="shared" si="10"/>
        <v>0</v>
      </c>
      <c r="I20" s="186">
        <f t="shared" si="10"/>
        <v>0</v>
      </c>
      <c r="J20" s="186">
        <f t="shared" si="2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2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2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2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2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2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2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 t="shared" ref="B27:C27" si="11">SUM(B21:B26)</f>
        <v>0</v>
      </c>
      <c r="C27" s="186">
        <f t="shared" si="11"/>
        <v>0</v>
      </c>
      <c r="D27" s="188"/>
      <c r="E27" s="186">
        <f>SUM(E21:E26)</f>
        <v>0</v>
      </c>
      <c r="F27" s="188"/>
      <c r="G27" s="186">
        <f t="shared" ref="G27:I27" si="12">SUM(G21:G26)</f>
        <v>0</v>
      </c>
      <c r="H27" s="186">
        <f t="shared" si="12"/>
        <v>0</v>
      </c>
      <c r="I27" s="186">
        <f t="shared" si="12"/>
        <v>0</v>
      </c>
      <c r="J27" s="186">
        <f t="shared" si="2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 t="shared" ref="B28:C28" si="13">SUM(B20,B27)</f>
        <v>0</v>
      </c>
      <c r="C28" s="186">
        <f t="shared" si="13"/>
        <v>0</v>
      </c>
      <c r="D28" s="188"/>
      <c r="E28" s="186">
        <f>SUM(E20,E27)</f>
        <v>0</v>
      </c>
      <c r="F28" s="188"/>
      <c r="G28" s="186">
        <f t="shared" ref="G28:I28" si="14">SUM(G20,G27)</f>
        <v>0</v>
      </c>
      <c r="H28" s="186">
        <f t="shared" si="14"/>
        <v>0</v>
      </c>
      <c r="I28" s="186">
        <f t="shared" si="14"/>
        <v>0</v>
      </c>
      <c r="J28" s="186">
        <f t="shared" si="2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 t="shared" ref="B30:C30" si="15">+B28-B29</f>
        <v>0</v>
      </c>
      <c r="C30" s="184">
        <f t="shared" si="15"/>
        <v>0</v>
      </c>
      <c r="D30" s="184"/>
      <c r="E30" s="184">
        <f>+E28-E29</f>
        <v>0</v>
      </c>
      <c r="F30" s="184"/>
      <c r="G30" s="184">
        <f t="shared" ref="G30:I30" si="16">+G28-G29</f>
        <v>0</v>
      </c>
      <c r="H30" s="184">
        <f t="shared" si="16"/>
        <v>0</v>
      </c>
      <c r="I30" s="184">
        <f t="shared" si="16"/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42792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 t="s">
        <v>68</v>
      </c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 t="s">
        <v>69</v>
      </c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 t="shared" ref="B45:F45" si="17">SUM(B35:B44)</f>
        <v>0</v>
      </c>
      <c r="C45" s="186">
        <f t="shared" si="17"/>
        <v>0</v>
      </c>
      <c r="D45" s="186">
        <f t="shared" si="17"/>
        <v>0</v>
      </c>
      <c r="E45" s="186">
        <f t="shared" si="17"/>
        <v>0</v>
      </c>
      <c r="F45" s="186">
        <f t="shared" si="17"/>
        <v>0</v>
      </c>
      <c r="G45" s="188"/>
      <c r="H45" s="186">
        <f>SUM(H35:H44)</f>
        <v>0</v>
      </c>
      <c r="I45" s="194"/>
      <c r="J45" s="186">
        <f t="shared" ref="J45:J64" si="18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8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8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8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8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 t="shared" ref="B50:F50" si="19">SUM(B46:B49)</f>
        <v>0</v>
      </c>
      <c r="C50" s="186">
        <f t="shared" si="19"/>
        <v>0</v>
      </c>
      <c r="D50" s="186">
        <f t="shared" si="19"/>
        <v>0</v>
      </c>
      <c r="E50" s="186">
        <f t="shared" si="19"/>
        <v>0</v>
      </c>
      <c r="F50" s="186">
        <f t="shared" si="19"/>
        <v>0</v>
      </c>
      <c r="G50" s="188"/>
      <c r="H50" s="186"/>
      <c r="I50" s="194"/>
      <c r="J50" s="186">
        <f t="shared" si="18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 t="shared" ref="B51:F51" si="20">SUM(B50,B45)</f>
        <v>0</v>
      </c>
      <c r="C51" s="186">
        <f t="shared" si="20"/>
        <v>0</v>
      </c>
      <c r="D51" s="186">
        <f t="shared" si="20"/>
        <v>0</v>
      </c>
      <c r="E51" s="186">
        <f t="shared" si="20"/>
        <v>0</v>
      </c>
      <c r="F51" s="186">
        <f t="shared" si="20"/>
        <v>0</v>
      </c>
      <c r="G51" s="188"/>
      <c r="H51" s="186">
        <f>SUM(H50,H45)</f>
        <v>0</v>
      </c>
      <c r="I51" s="194"/>
      <c r="J51" s="186">
        <f t="shared" si="18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8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8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8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 t="shared" ref="B55:F55" si="21">SUM(B52:B54)</f>
        <v>0</v>
      </c>
      <c r="C55" s="186">
        <f t="shared" si="21"/>
        <v>0</v>
      </c>
      <c r="D55" s="186">
        <f t="shared" si="21"/>
        <v>0</v>
      </c>
      <c r="E55" s="186">
        <f t="shared" si="21"/>
        <v>0</v>
      </c>
      <c r="F55" s="186">
        <f t="shared" si="21"/>
        <v>0</v>
      </c>
      <c r="G55" s="188"/>
      <c r="H55" s="186">
        <f>SUM(H52:H54)</f>
        <v>0</v>
      </c>
      <c r="I55" s="194"/>
      <c r="J55" s="186">
        <f t="shared" si="18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 t="shared" ref="B56:F56" si="22">SUM(B51,B55)</f>
        <v>0</v>
      </c>
      <c r="C56" s="186">
        <f t="shared" si="22"/>
        <v>0</v>
      </c>
      <c r="D56" s="186">
        <f t="shared" si="22"/>
        <v>0</v>
      </c>
      <c r="E56" s="186">
        <f t="shared" si="22"/>
        <v>0</v>
      </c>
      <c r="F56" s="186">
        <f t="shared" si="22"/>
        <v>0</v>
      </c>
      <c r="G56" s="188"/>
      <c r="H56" s="186">
        <f>SUM(H51,H55)</f>
        <v>0</v>
      </c>
      <c r="I56" s="194"/>
      <c r="J56" s="186">
        <f t="shared" si="18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8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8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8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8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8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8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 t="shared" ref="B63:F63" si="23">SUM(B57:B62)</f>
        <v>0</v>
      </c>
      <c r="C63" s="186">
        <f t="shared" si="23"/>
        <v>0</v>
      </c>
      <c r="D63" s="186">
        <f t="shared" si="23"/>
        <v>0</v>
      </c>
      <c r="E63" s="186">
        <f t="shared" si="23"/>
        <v>0</v>
      </c>
      <c r="F63" s="186">
        <f t="shared" si="23"/>
        <v>0</v>
      </c>
      <c r="G63" s="188"/>
      <c r="H63" s="186">
        <f>SUM(H57:H62)</f>
        <v>0</v>
      </c>
      <c r="I63" s="194"/>
      <c r="J63" s="186">
        <f t="shared" si="18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 t="shared" ref="B64:F64" si="24">SUM(B56,B63)</f>
        <v>0</v>
      </c>
      <c r="C64" s="186">
        <f t="shared" si="24"/>
        <v>0</v>
      </c>
      <c r="D64" s="186">
        <f t="shared" si="24"/>
        <v>0</v>
      </c>
      <c r="E64" s="186">
        <f t="shared" si="24"/>
        <v>0</v>
      </c>
      <c r="F64" s="186">
        <f t="shared" si="24"/>
        <v>0</v>
      </c>
      <c r="G64" s="188"/>
      <c r="H64" s="186">
        <f>SUM(H56,H63)</f>
        <v>0</v>
      </c>
      <c r="I64" s="194"/>
      <c r="J64" s="186">
        <f t="shared" si="18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/>
      <c r="F65" s="184"/>
      <c r="G65" s="184"/>
      <c r="H65" s="184"/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 t="shared" ref="B66:F66" si="25">+B64-B65</f>
        <v>0</v>
      </c>
      <c r="C66" s="184">
        <f t="shared" si="25"/>
        <v>0</v>
      </c>
      <c r="D66" s="184">
        <f t="shared" si="25"/>
        <v>0</v>
      </c>
      <c r="E66" s="184">
        <f t="shared" si="25"/>
        <v>0</v>
      </c>
      <c r="F66" s="184">
        <f t="shared" si="25"/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42792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 t="shared" ref="E74:E76" si="26"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 t="shared" si="26"/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 t="shared" si="26"/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8080"/>
  </sheetPr>
  <dimension ref="A1:Z1000"/>
  <sheetViews>
    <sheetView showGridLines="0" tabSelected="1" workbookViewId="0">
      <selection activeCell="D1" sqref="D1"/>
    </sheetView>
  </sheetViews>
  <sheetFormatPr defaultColWidth="17.28515625" defaultRowHeight="15" customHeight="1" x14ac:dyDescent="0.2"/>
  <cols>
    <col min="1" max="1" width="26.28515625" customWidth="1"/>
    <col min="2" max="6" width="13.7109375" customWidth="1"/>
    <col min="7" max="7" width="17.28515625" customWidth="1"/>
    <col min="8" max="8" width="13.7109375" customWidth="1"/>
    <col min="9" max="9" width="14.5703125" customWidth="1"/>
    <col min="10" max="10" width="13.140625" customWidth="1"/>
    <col min="11" max="20" width="9.140625" customWidth="1"/>
    <col min="21" max="26" width="8" customWidth="1"/>
  </cols>
  <sheetData>
    <row r="1" spans="1:26" ht="13.5" customHeight="1" x14ac:dyDescent="0.25">
      <c r="A1" s="1" t="s">
        <v>0</v>
      </c>
      <c r="B1" s="1"/>
      <c r="C1" s="1" t="s">
        <v>1</v>
      </c>
      <c r="D1" s="179">
        <v>42792</v>
      </c>
      <c r="E1" s="1" t="s">
        <v>2</v>
      </c>
      <c r="F1" s="1"/>
      <c r="G1" s="1"/>
      <c r="H1" s="2"/>
      <c r="I1" s="2"/>
      <c r="J1" s="1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4"/>
      <c r="X1" s="4"/>
      <c r="Y1" s="4"/>
      <c r="Z1" s="4"/>
    </row>
    <row r="2" spans="1:26" ht="25.5" customHeight="1" x14ac:dyDescent="0.25">
      <c r="A2" s="5"/>
      <c r="B2" s="6" t="s">
        <v>3</v>
      </c>
      <c r="C2" s="7" t="s">
        <v>4</v>
      </c>
      <c r="D2" s="7"/>
      <c r="E2" s="6" t="s">
        <v>5</v>
      </c>
      <c r="F2" s="7"/>
      <c r="G2" s="6" t="s">
        <v>6</v>
      </c>
      <c r="H2" s="6" t="s">
        <v>7</v>
      </c>
      <c r="I2" s="7" t="s">
        <v>8</v>
      </c>
      <c r="J2" s="6" t="s">
        <v>9</v>
      </c>
      <c r="K2" s="8"/>
      <c r="L2" s="9"/>
      <c r="M2" s="9"/>
      <c r="N2" s="9"/>
      <c r="O2" s="9"/>
      <c r="P2" s="9"/>
      <c r="Q2" s="9"/>
      <c r="R2" s="9"/>
      <c r="S2" s="9"/>
      <c r="T2" s="9"/>
      <c r="U2" s="10"/>
      <c r="V2" s="10"/>
      <c r="W2" s="10"/>
      <c r="X2" s="10"/>
      <c r="Y2" s="10"/>
      <c r="Z2" s="10"/>
    </row>
    <row r="3" spans="1:26" ht="14.25" customHeight="1" x14ac:dyDescent="0.3">
      <c r="A3" s="11" t="s">
        <v>10</v>
      </c>
      <c r="B3" s="54">
        <f>+'Mon 20'!B3+'Tue 21'!B3+'Wed 22'!B3+'Thu 23'!B3+'Fri 24'!B3+'Sat 25'!B3+'Sun 26'!B3</f>
        <v>0</v>
      </c>
      <c r="C3" s="55">
        <f>+'Mon 20'!C3+'Tue 21'!C3+'Wed 22'!C3+'Thu 23'!C3+'Fri 24'!C3+'Sat 25'!C3+'Sun 26'!C3</f>
        <v>0</v>
      </c>
      <c r="D3" s="55"/>
      <c r="E3" s="54">
        <f>+'Mon 20'!E3+'Tue 21'!E3+'Wed 22'!E3+'Thu 23'!E3+'Fri 24'!E3+'Sat 25'!E3+'Sun 26'!E3</f>
        <v>0</v>
      </c>
      <c r="F3" s="55"/>
      <c r="G3" s="54">
        <f>+'Mon 20'!G3+'Tue 21'!G3+'Wed 22'!G3+'Thu 23'!G3+'Fri 24'!G3+'Sat 25'!G3+'Sun 26'!G3</f>
        <v>0</v>
      </c>
      <c r="H3" s="54">
        <f>+'Mon 20'!H3+'Tue 21'!H3+'Wed 22'!H3+'Thu 23'!H3+'Fri 24'!H3+'Sat 25'!H3+'Sun 26'!H3</f>
        <v>0</v>
      </c>
      <c r="I3" s="55">
        <f>+'Mon 20'!I3+'Tue 21'!I3+'Wed 22'!I3+'Thu 23'!I3+'Fri 24'!I3+'Sat 25'!I3+'Sun 26'!I3</f>
        <v>0</v>
      </c>
      <c r="J3" s="19"/>
      <c r="K3" s="12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4"/>
      <c r="X3" s="4"/>
      <c r="Y3" s="4"/>
      <c r="Z3" s="4"/>
    </row>
    <row r="4" spans="1:26" ht="14.25" customHeight="1" x14ac:dyDescent="0.3">
      <c r="A4" s="11" t="s">
        <v>11</v>
      </c>
      <c r="B4" s="54">
        <f>+'Mon 20'!B4+'Tue 21'!B4+'Wed 22'!B4+'Thu 23'!B4+'Fri 24'!B4+'Sat 25'!B4+'Sun 26'!B4</f>
        <v>0</v>
      </c>
      <c r="C4" s="55">
        <f>+'Mon 20'!C4+'Tue 21'!C4+'Wed 22'!C4+'Thu 23'!C4+'Fri 24'!C4+'Sat 25'!C4+'Sun 26'!C4</f>
        <v>0</v>
      </c>
      <c r="D4" s="55"/>
      <c r="E4" s="54">
        <f>+'Mon 20'!E4+'Tue 21'!E4+'Wed 22'!E4+'Thu 23'!E4+'Fri 24'!E4+'Sat 25'!E4+'Sun 26'!E4</f>
        <v>0</v>
      </c>
      <c r="F4" s="55"/>
      <c r="G4" s="54">
        <f>+'Mon 20'!G4+'Tue 21'!G4+'Wed 22'!G4+'Thu 23'!G4+'Fri 24'!G4+'Sat 25'!G4+'Sun 26'!G4</f>
        <v>0</v>
      </c>
      <c r="H4" s="54">
        <f>+'Mon 20'!H4+'Tue 21'!H4+'Wed 22'!H4+'Thu 23'!H4+'Fri 24'!H4+'Sat 25'!H4+'Sun 26'!H4</f>
        <v>0</v>
      </c>
      <c r="I4" s="55">
        <f>+'Mon 20'!I4+'Tue 21'!I4+'Wed 22'!I4+'Thu 23'!I4+'Fri 24'!I4+'Sat 25'!I4+'Sun 26'!I4</f>
        <v>0</v>
      </c>
      <c r="J4" s="19"/>
      <c r="K4" s="12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4"/>
      <c r="X4" s="4"/>
      <c r="Y4" s="4"/>
      <c r="Z4" s="4"/>
    </row>
    <row r="5" spans="1:26" ht="14.25" customHeight="1" x14ac:dyDescent="0.3">
      <c r="A5" s="11" t="s">
        <v>12</v>
      </c>
      <c r="B5" s="54">
        <f>+'Mon 20'!B5+'Tue 21'!B5+'Wed 22'!B5+'Thu 23'!B5+'Fri 24'!B5+'Sat 25'!B5+'Sun 26'!B5</f>
        <v>0</v>
      </c>
      <c r="C5" s="55">
        <f>+'Mon 20'!C5+'Tue 21'!C5+'Wed 22'!C5+'Thu 23'!C5+'Fri 24'!C5+'Sat 25'!C5+'Sun 26'!C5</f>
        <v>0</v>
      </c>
      <c r="D5" s="55"/>
      <c r="E5" s="54">
        <f>+'Mon 20'!E5+'Tue 21'!E5+'Wed 22'!E5+'Thu 23'!E5+'Fri 24'!E5+'Sat 25'!E5+'Sun 26'!E5</f>
        <v>0</v>
      </c>
      <c r="F5" s="55"/>
      <c r="G5" s="54">
        <f>+'Mon 20'!G5+'Tue 21'!G5+'Wed 22'!G5+'Thu 23'!G5+'Fri 24'!G5+'Sat 25'!G5+'Sun 26'!G5</f>
        <v>0</v>
      </c>
      <c r="H5" s="54">
        <f>+'Mon 20'!H5+'Tue 21'!H5+'Wed 22'!H5+'Thu 23'!H5+'Fri 24'!H5+'Sat 25'!H5+'Sun 26'!H5</f>
        <v>0</v>
      </c>
      <c r="I5" s="55">
        <f>+'Mon 20'!I5+'Tue 21'!I5+'Wed 22'!I5+'Thu 23'!I5+'Fri 24'!I5+'Sat 25'!I5+'Sun 26'!I5</f>
        <v>0</v>
      </c>
      <c r="J5" s="19"/>
      <c r="K5" s="12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4"/>
      <c r="X5" s="4"/>
      <c r="Y5" s="4"/>
      <c r="Z5" s="4"/>
    </row>
    <row r="6" spans="1:26" ht="14.25" customHeight="1" x14ac:dyDescent="0.3">
      <c r="A6" s="11" t="s">
        <v>13</v>
      </c>
      <c r="B6" s="54">
        <f>+'Mon 20'!B6+'Tue 21'!B6+'Wed 22'!B6+'Thu 23'!B6+'Fri 24'!B6+'Sat 25'!B6+'Sun 26'!B6</f>
        <v>0</v>
      </c>
      <c r="C6" s="55">
        <f>+'Mon 20'!C6+'Tue 21'!C6+'Wed 22'!C6+'Thu 23'!C6+'Fri 24'!C6+'Sat 25'!C6+'Sun 26'!C6</f>
        <v>0</v>
      </c>
      <c r="D6" s="55"/>
      <c r="E6" s="54">
        <f>+'Mon 20'!E6+'Tue 21'!E6+'Wed 22'!E6+'Thu 23'!E6+'Fri 24'!E6+'Sat 25'!E6+'Sun 26'!E6</f>
        <v>0</v>
      </c>
      <c r="F6" s="55"/>
      <c r="G6" s="54">
        <f>+'Mon 20'!G6+'Tue 21'!G6+'Wed 22'!G6+'Thu 23'!G6+'Fri 24'!G6+'Sat 25'!G6+'Sun 26'!G6</f>
        <v>0</v>
      </c>
      <c r="H6" s="54">
        <f>+'Mon 20'!H6+'Tue 21'!H6+'Wed 22'!H6+'Thu 23'!H6+'Fri 24'!H6+'Sat 25'!H6+'Sun 26'!H6</f>
        <v>0</v>
      </c>
      <c r="I6" s="55">
        <f>+'Mon 20'!I6+'Tue 21'!I6+'Wed 22'!I6+'Thu 23'!I6+'Fri 24'!I6+'Sat 25'!I6+'Sun 26'!I6</f>
        <v>0</v>
      </c>
      <c r="J6" s="19"/>
      <c r="K6" s="12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4"/>
      <c r="X6" s="4"/>
      <c r="Y6" s="4"/>
      <c r="Z6" s="4"/>
    </row>
    <row r="7" spans="1:26" ht="14.25" customHeight="1" x14ac:dyDescent="0.3">
      <c r="A7" s="11" t="s">
        <v>14</v>
      </c>
      <c r="B7" s="54">
        <f>+'Mon 20'!B7+'Tue 21'!B7+'Wed 22'!B7+'Thu 23'!B7+'Fri 24'!B7+'Sat 25'!B7+'Sun 26'!B7</f>
        <v>0</v>
      </c>
      <c r="C7" s="55">
        <f>+'Mon 20'!C7+'Tue 21'!C7+'Wed 22'!C7+'Thu 23'!C7+'Fri 24'!C7+'Sat 25'!C7+'Sun 26'!C7</f>
        <v>0</v>
      </c>
      <c r="D7" s="55"/>
      <c r="E7" s="54">
        <f>+'Mon 20'!E7+'Tue 21'!E7+'Wed 22'!E7+'Thu 23'!E7+'Fri 24'!E7+'Sat 25'!E7+'Sun 26'!E7</f>
        <v>0</v>
      </c>
      <c r="F7" s="55"/>
      <c r="G7" s="54">
        <f>+'Mon 20'!G7+'Tue 21'!G7+'Wed 22'!G7+'Thu 23'!G7+'Fri 24'!G7+'Sat 25'!G7+'Sun 26'!G7</f>
        <v>0</v>
      </c>
      <c r="H7" s="54">
        <f>+'Mon 20'!H7+'Tue 21'!H7+'Wed 22'!H7+'Thu 23'!H7+'Fri 24'!H7+'Sat 25'!H7+'Sun 26'!H7</f>
        <v>0</v>
      </c>
      <c r="I7" s="55">
        <f>+'Mon 20'!I7+'Tue 21'!I7+'Wed 22'!I7+'Thu 23'!I7+'Fri 24'!I7+'Sat 25'!I7+'Sun 26'!I7</f>
        <v>0</v>
      </c>
      <c r="J7" s="19"/>
      <c r="K7" s="12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4"/>
      <c r="X7" s="4"/>
      <c r="Y7" s="4"/>
      <c r="Z7" s="4"/>
    </row>
    <row r="8" spans="1:26" ht="14.25" customHeight="1" x14ac:dyDescent="0.3">
      <c r="A8" s="11" t="s">
        <v>15</v>
      </c>
      <c r="B8" s="54">
        <f>+'Mon 20'!B8+'Tue 21'!B8+'Wed 22'!B8+'Thu 23'!B8+'Fri 24'!B8+'Sat 25'!B8+'Sun 26'!B8</f>
        <v>0</v>
      </c>
      <c r="C8" s="55">
        <f>+'Mon 20'!C8+'Tue 21'!C8+'Wed 22'!C8+'Thu 23'!C8+'Fri 24'!C8+'Sat 25'!C8+'Sun 26'!C8</f>
        <v>0</v>
      </c>
      <c r="D8" s="55"/>
      <c r="E8" s="54">
        <f>+'Mon 20'!E8+'Tue 21'!E8+'Wed 22'!E8+'Thu 23'!E8+'Fri 24'!E8+'Sat 25'!E8+'Sun 26'!E8</f>
        <v>0</v>
      </c>
      <c r="F8" s="55"/>
      <c r="G8" s="54">
        <f>+'Mon 20'!G8+'Tue 21'!G8+'Wed 22'!G8+'Thu 23'!G8+'Fri 24'!G8+'Sat 25'!G8+'Sun 26'!G8</f>
        <v>0</v>
      </c>
      <c r="H8" s="54">
        <f>+'Mon 20'!H8+'Tue 21'!H8+'Wed 22'!H8+'Thu 23'!H8+'Fri 24'!H8+'Sat 25'!H8+'Sun 26'!H8</f>
        <v>0</v>
      </c>
      <c r="I8" s="55">
        <f>+'Mon 20'!I8+'Tue 21'!I8+'Wed 22'!I8+'Thu 23'!I8+'Fri 24'!I8+'Sat 25'!I8+'Sun 26'!I8</f>
        <v>0</v>
      </c>
      <c r="J8" s="19"/>
      <c r="K8" s="12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4"/>
      <c r="X8" s="4"/>
      <c r="Y8" s="4"/>
      <c r="Z8" s="4"/>
    </row>
    <row r="9" spans="1:26" ht="13.5" customHeight="1" x14ac:dyDescent="0.25">
      <c r="A9" s="13" t="s">
        <v>16</v>
      </c>
      <c r="B9" s="19">
        <f t="shared" ref="B9:C9" si="0">SUM(B3:B8)</f>
        <v>0</v>
      </c>
      <c r="C9" s="19">
        <f t="shared" si="0"/>
        <v>0</v>
      </c>
      <c r="D9" s="20"/>
      <c r="E9" s="19">
        <f>SUM(E3:E8)</f>
        <v>0</v>
      </c>
      <c r="F9" s="20"/>
      <c r="G9" s="19">
        <f t="shared" ref="G9:I9" si="1">SUM(G3:G8)</f>
        <v>0</v>
      </c>
      <c r="H9" s="19">
        <f t="shared" si="1"/>
        <v>0</v>
      </c>
      <c r="I9" s="19">
        <f t="shared" si="1"/>
        <v>0</v>
      </c>
      <c r="J9" s="19">
        <f t="shared" ref="J9:J28" si="2">SUM(B9:I9)</f>
        <v>0</v>
      </c>
      <c r="K9" s="12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4"/>
      <c r="X9" s="4"/>
      <c r="Y9" s="4"/>
      <c r="Z9" s="4"/>
    </row>
    <row r="10" spans="1:26" ht="14.25" customHeight="1" x14ac:dyDescent="0.3">
      <c r="A10" s="11" t="s">
        <v>17</v>
      </c>
      <c r="B10" s="54">
        <f>+'Mon 20'!B10+'Tue 21'!B10+'Wed 22'!B10+'Thu 23'!B10+'Fri 24'!B10+'Sat 25'!B10+'Sun 26'!B10</f>
        <v>0</v>
      </c>
      <c r="C10" s="55">
        <f>+'Mon 20'!C10+'Tue 21'!C10+'Wed 22'!C10+'Thu 23'!C10+'Fri 24'!C10+'Sat 25'!C10+'Sun 26'!C10</f>
        <v>0</v>
      </c>
      <c r="D10" s="55"/>
      <c r="E10" s="54">
        <f>+'Mon 20'!E10+'Tue 21'!E10+'Wed 22'!E10+'Thu 23'!E10+'Fri 24'!E10+'Sat 25'!E10+'Sun 26'!E10</f>
        <v>0</v>
      </c>
      <c r="F10" s="55"/>
      <c r="G10" s="54">
        <f>+'Mon 20'!G10+'Tue 21'!G10+'Wed 22'!G10+'Thu 23'!G10+'Fri 24'!G10+'Sat 25'!G10+'Sun 26'!G10</f>
        <v>0</v>
      </c>
      <c r="H10" s="54">
        <f>+'Mon 20'!H10+'Tue 21'!H10+'Wed 22'!H10+'Thu 23'!H10+'Fri 24'!H10+'Sat 25'!H10+'Sun 26'!H10</f>
        <v>0</v>
      </c>
      <c r="I10" s="55">
        <f>+'Mon 20'!I10+'Tue 21'!I10+'Wed 22'!I10+'Thu 23'!I10+'Fri 24'!I10+'Sat 25'!I10+'Sun 26'!I10</f>
        <v>0</v>
      </c>
      <c r="J10" s="19">
        <f t="shared" si="2"/>
        <v>0</v>
      </c>
      <c r="K10" s="12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4"/>
      <c r="X10" s="4"/>
      <c r="Y10" s="4"/>
      <c r="Z10" s="4"/>
    </row>
    <row r="11" spans="1:26" ht="14.25" customHeight="1" x14ac:dyDescent="0.3">
      <c r="A11" s="11" t="s">
        <v>18</v>
      </c>
      <c r="B11" s="54">
        <f>+'Mon 20'!B11+'Tue 21'!B11+'Wed 22'!B11+'Thu 23'!B11+'Fri 24'!B11+'Sat 25'!B11+'Sun 26'!B11</f>
        <v>0</v>
      </c>
      <c r="C11" s="55">
        <f>+'Mon 20'!C11+'Tue 21'!C11+'Wed 22'!C11+'Thu 23'!C11+'Fri 24'!C11+'Sat 25'!C11+'Sun 26'!C11</f>
        <v>0</v>
      </c>
      <c r="D11" s="55"/>
      <c r="E11" s="54">
        <f>+'Mon 20'!E11+'Tue 21'!E11+'Wed 22'!E11+'Thu 23'!E11+'Fri 24'!E11+'Sat 25'!E11+'Sun 26'!E11</f>
        <v>0</v>
      </c>
      <c r="F11" s="55"/>
      <c r="G11" s="54">
        <f>+'Mon 20'!G11+'Tue 21'!G11+'Wed 22'!G11+'Thu 23'!G11+'Fri 24'!G11+'Sat 25'!G11+'Sun 26'!G11</f>
        <v>0</v>
      </c>
      <c r="H11" s="54">
        <f>+'Mon 20'!H11+'Tue 21'!H11+'Wed 22'!H11+'Thu 23'!H11+'Fri 24'!H11+'Sat 25'!H11+'Sun 26'!H11</f>
        <v>0</v>
      </c>
      <c r="I11" s="55">
        <f>+'Mon 20'!I11+'Tue 21'!I11+'Wed 22'!I11+'Thu 23'!I11+'Fri 24'!I11+'Sat 25'!I11+'Sun 26'!I11</f>
        <v>0</v>
      </c>
      <c r="J11" s="19">
        <f t="shared" si="2"/>
        <v>0</v>
      </c>
      <c r="K11" s="12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4"/>
      <c r="X11" s="4"/>
      <c r="Y11" s="4"/>
      <c r="Z11" s="4"/>
    </row>
    <row r="12" spans="1:26" ht="14.25" customHeight="1" x14ac:dyDescent="0.3">
      <c r="A12" s="11" t="s">
        <v>19</v>
      </c>
      <c r="B12" s="54">
        <f>+'Mon 20'!B12+'Tue 21'!B12+'Wed 22'!B12+'Thu 23'!B12+'Fri 24'!B12+'Sat 25'!B12+'Sun 26'!B12</f>
        <v>0</v>
      </c>
      <c r="C12" s="55">
        <f>+'Mon 20'!C12+'Tue 21'!C12+'Wed 22'!C12+'Thu 23'!C12+'Fri 24'!C12+'Sat 25'!C12+'Sun 26'!C12</f>
        <v>0</v>
      </c>
      <c r="D12" s="55"/>
      <c r="E12" s="54">
        <f>+'Mon 20'!E12+'Tue 21'!E12+'Wed 22'!E12+'Thu 23'!E12+'Fri 24'!E12+'Sat 25'!E12+'Sun 26'!E12</f>
        <v>0</v>
      </c>
      <c r="F12" s="55"/>
      <c r="G12" s="54">
        <f>+'Mon 20'!G12+'Tue 21'!G12+'Wed 22'!G12+'Thu 23'!G12+'Fri 24'!G12+'Sat 25'!G12+'Sun 26'!G12</f>
        <v>0</v>
      </c>
      <c r="H12" s="54">
        <f>+'Mon 20'!H12+'Tue 21'!H12+'Wed 22'!H12+'Thu 23'!H12+'Fri 24'!H12+'Sat 25'!H12+'Sun 26'!H12</f>
        <v>0</v>
      </c>
      <c r="I12" s="55">
        <f>+'Mon 20'!I12+'Tue 21'!I12+'Wed 22'!I12+'Thu 23'!I12+'Fri 24'!I12+'Sat 25'!I12+'Sun 26'!I12</f>
        <v>0</v>
      </c>
      <c r="J12" s="19">
        <f t="shared" si="2"/>
        <v>0</v>
      </c>
      <c r="K12" s="12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4"/>
      <c r="X12" s="4"/>
      <c r="Y12" s="4"/>
      <c r="Z12" s="4"/>
    </row>
    <row r="13" spans="1:26" ht="14.25" customHeight="1" x14ac:dyDescent="0.3">
      <c r="A13" s="11" t="s">
        <v>20</v>
      </c>
      <c r="B13" s="54">
        <f>+'Mon 20'!B13+'Tue 21'!B13+'Wed 22'!B13+'Thu 23'!B13+'Fri 24'!B13+'Sat 25'!B13+'Sun 26'!B13</f>
        <v>0</v>
      </c>
      <c r="C13" s="55">
        <f>+'Mon 20'!C13+'Tue 21'!C13+'Wed 22'!C13+'Thu 23'!C13+'Fri 24'!C13+'Sat 25'!C13+'Sun 26'!C13</f>
        <v>0</v>
      </c>
      <c r="D13" s="55"/>
      <c r="E13" s="54">
        <f>+'Mon 20'!E13+'Tue 21'!E13+'Wed 22'!E13+'Thu 23'!E13+'Fri 24'!E13+'Sat 25'!E13+'Sun 26'!E13</f>
        <v>0</v>
      </c>
      <c r="F13" s="55"/>
      <c r="G13" s="54">
        <f>+'Mon 20'!G13+'Tue 21'!G13+'Wed 22'!G13+'Thu 23'!G13+'Fri 24'!G13+'Sat 25'!G13+'Sun 26'!G13</f>
        <v>0</v>
      </c>
      <c r="H13" s="54">
        <f>+'Mon 20'!H13+'Tue 21'!H13+'Wed 22'!H13+'Thu 23'!H13+'Fri 24'!H13+'Sat 25'!H13+'Sun 26'!H13</f>
        <v>0</v>
      </c>
      <c r="I13" s="55">
        <f>+'Mon 20'!I13+'Tue 21'!I13+'Wed 22'!I13+'Thu 23'!I13+'Fri 24'!I13+'Sat 25'!I13+'Sun 26'!I13</f>
        <v>0</v>
      </c>
      <c r="J13" s="19">
        <f t="shared" si="2"/>
        <v>0</v>
      </c>
      <c r="K13" s="12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4"/>
      <c r="X13" s="4"/>
      <c r="Y13" s="4"/>
      <c r="Z13" s="4"/>
    </row>
    <row r="14" spans="1:26" ht="13.5" customHeight="1" x14ac:dyDescent="0.25">
      <c r="A14" s="13" t="s">
        <v>21</v>
      </c>
      <c r="B14" s="19">
        <f t="shared" ref="B14:C14" si="3">SUM(B10:B13)</f>
        <v>0</v>
      </c>
      <c r="C14" s="19">
        <f t="shared" si="3"/>
        <v>0</v>
      </c>
      <c r="D14" s="20"/>
      <c r="E14" s="19">
        <f>SUM(E10:E13)</f>
        <v>0</v>
      </c>
      <c r="F14" s="20"/>
      <c r="G14" s="19">
        <f t="shared" ref="G14:I14" si="4">SUM(G10:G13)</f>
        <v>0</v>
      </c>
      <c r="H14" s="19">
        <f t="shared" si="4"/>
        <v>0</v>
      </c>
      <c r="I14" s="19">
        <f t="shared" si="4"/>
        <v>0</v>
      </c>
      <c r="J14" s="19">
        <f t="shared" si="2"/>
        <v>0</v>
      </c>
      <c r="K14" s="12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4"/>
      <c r="X14" s="4"/>
      <c r="Y14" s="4"/>
      <c r="Z14" s="4"/>
    </row>
    <row r="15" spans="1:26" ht="13.5" customHeight="1" x14ac:dyDescent="0.25">
      <c r="A15" s="13" t="s">
        <v>16</v>
      </c>
      <c r="B15" s="19">
        <f t="shared" ref="B15:C15" si="5">SUM(B14,B9)</f>
        <v>0</v>
      </c>
      <c r="C15" s="19">
        <f t="shared" si="5"/>
        <v>0</v>
      </c>
      <c r="D15" s="20"/>
      <c r="E15" s="19">
        <f>SUM(E14,E9)</f>
        <v>0</v>
      </c>
      <c r="F15" s="20"/>
      <c r="G15" s="19">
        <f t="shared" ref="G15:I15" si="6">SUM(G14,G9)</f>
        <v>0</v>
      </c>
      <c r="H15" s="19">
        <f t="shared" si="6"/>
        <v>0</v>
      </c>
      <c r="I15" s="19">
        <f t="shared" si="6"/>
        <v>0</v>
      </c>
      <c r="J15" s="19">
        <f t="shared" si="2"/>
        <v>0</v>
      </c>
      <c r="K15" s="12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4"/>
      <c r="X15" s="4"/>
      <c r="Y15" s="4"/>
      <c r="Z15" s="4"/>
    </row>
    <row r="16" spans="1:26" ht="14.25" customHeight="1" x14ac:dyDescent="0.3">
      <c r="A16" s="11" t="s">
        <v>22</v>
      </c>
      <c r="B16" s="54">
        <f>+'Mon 20'!B16+'Tue 21'!B16+'Wed 22'!B16+'Thu 23'!B16+'Fri 24'!B16+'Sat 25'!B16+'Sun 26'!B16</f>
        <v>0</v>
      </c>
      <c r="C16" s="55">
        <f>+'Mon 20'!C16+'Tue 21'!C16+'Wed 22'!C16+'Thu 23'!C16+'Fri 24'!C16+'Sat 25'!C16+'Sun 26'!C16</f>
        <v>0</v>
      </c>
      <c r="D16" s="55"/>
      <c r="E16" s="54">
        <f>+'Mon 20'!E16+'Tue 21'!E16+'Wed 22'!E16+'Thu 23'!E16+'Fri 24'!E16+'Sat 25'!E16+'Sun 26'!E16</f>
        <v>0</v>
      </c>
      <c r="F16" s="55"/>
      <c r="G16" s="54">
        <f>+'Mon 20'!G16+'Tue 21'!G16+'Wed 22'!G16+'Thu 23'!G16+'Fri 24'!G16+'Sat 25'!G16+'Sun 26'!G16</f>
        <v>0</v>
      </c>
      <c r="H16" s="54">
        <f>+'Mon 20'!H16+'Tue 21'!H16+'Wed 22'!H16+'Thu 23'!H16+'Fri 24'!H16+'Sat 25'!H16+'Sun 26'!H16</f>
        <v>0</v>
      </c>
      <c r="I16" s="55">
        <f>+'Mon 20'!I16+'Tue 21'!I16+'Wed 22'!I16+'Thu 23'!I16+'Fri 24'!I16+'Sat 25'!I16+'Sun 26'!I16</f>
        <v>0</v>
      </c>
      <c r="J16" s="19">
        <f t="shared" si="2"/>
        <v>0</v>
      </c>
      <c r="K16" s="12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4"/>
      <c r="Y16" s="4"/>
      <c r="Z16" s="4"/>
    </row>
    <row r="17" spans="1:26" ht="14.25" customHeight="1" x14ac:dyDescent="0.3">
      <c r="A17" s="11" t="s">
        <v>23</v>
      </c>
      <c r="B17" s="54">
        <f>+'Mon 20'!B17+'Tue 21'!B17+'Wed 22'!B17+'Thu 23'!B17+'Fri 24'!B17+'Sat 25'!B17+'Sun 26'!B17</f>
        <v>0</v>
      </c>
      <c r="C17" s="55">
        <f>+'Mon 20'!C17+'Tue 21'!C17+'Wed 22'!C17+'Thu 23'!C17+'Fri 24'!C17+'Sat 25'!C17+'Sun 26'!C17</f>
        <v>0</v>
      </c>
      <c r="D17" s="55"/>
      <c r="E17" s="54">
        <f>+'Mon 20'!E17+'Tue 21'!E17+'Wed 22'!E17+'Thu 23'!E17+'Fri 24'!E17+'Sat 25'!E17+'Sun 26'!E17</f>
        <v>0</v>
      </c>
      <c r="F17" s="55"/>
      <c r="G17" s="54">
        <f>+'Mon 20'!G17+'Tue 21'!G17+'Wed 22'!G17+'Thu 23'!G17+'Fri 24'!G17+'Sat 25'!G17+'Sun 26'!G17</f>
        <v>0</v>
      </c>
      <c r="H17" s="54">
        <f>+'Mon 20'!H17+'Tue 21'!H17+'Wed 22'!H17+'Thu 23'!H17+'Fri 24'!H17+'Sat 25'!H17+'Sun 26'!H17</f>
        <v>0</v>
      </c>
      <c r="I17" s="55">
        <f>+'Mon 20'!I17+'Tue 21'!I17+'Wed 22'!I17+'Thu 23'!I17+'Fri 24'!I17+'Sat 25'!I17+'Sun 26'!I17</f>
        <v>0</v>
      </c>
      <c r="J17" s="19">
        <f t="shared" si="2"/>
        <v>0</v>
      </c>
      <c r="K17" s="12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4"/>
      <c r="X17" s="4"/>
      <c r="Y17" s="4"/>
      <c r="Z17" s="4"/>
    </row>
    <row r="18" spans="1:26" ht="14.25" customHeight="1" x14ac:dyDescent="0.3">
      <c r="A18" s="11" t="s">
        <v>24</v>
      </c>
      <c r="B18" s="54">
        <f>+'Mon 20'!B18+'Tue 21'!B18+'Wed 22'!B18+'Thu 23'!B18+'Fri 24'!B18+'Sat 25'!B18+'Sun 26'!B18</f>
        <v>0</v>
      </c>
      <c r="C18" s="55">
        <f>+'Mon 20'!C18+'Tue 21'!C18+'Wed 22'!C18+'Thu 23'!C18+'Fri 24'!C18+'Sat 25'!C18+'Sun 26'!C18</f>
        <v>0</v>
      </c>
      <c r="D18" s="55"/>
      <c r="E18" s="54">
        <f>+'Mon 20'!E18+'Tue 21'!E18+'Wed 22'!E18+'Thu 23'!E18+'Fri 24'!E18+'Sat 25'!E18+'Sun 26'!E18</f>
        <v>0</v>
      </c>
      <c r="F18" s="55"/>
      <c r="G18" s="54">
        <f>+'Mon 20'!G18+'Tue 21'!G18+'Wed 22'!G18+'Thu 23'!G18+'Fri 24'!G18+'Sat 25'!G18+'Sun 26'!G18</f>
        <v>0</v>
      </c>
      <c r="H18" s="54">
        <f>+'Mon 20'!H18+'Tue 21'!H18+'Wed 22'!H18+'Thu 23'!H18+'Fri 24'!H18+'Sat 25'!H18+'Sun 26'!H18</f>
        <v>0</v>
      </c>
      <c r="I18" s="55">
        <f>+'Mon 20'!I18+'Tue 21'!I18+'Wed 22'!I18+'Thu 23'!I18+'Fri 24'!I18+'Sat 25'!I18+'Sun 26'!I18</f>
        <v>0</v>
      </c>
      <c r="J18" s="19">
        <f t="shared" si="2"/>
        <v>0</v>
      </c>
      <c r="K18" s="12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4"/>
      <c r="Y18" s="4"/>
      <c r="Z18" s="4"/>
    </row>
    <row r="19" spans="1:26" ht="13.5" customHeight="1" x14ac:dyDescent="0.25">
      <c r="A19" s="13" t="s">
        <v>16</v>
      </c>
      <c r="B19" s="19">
        <f t="shared" ref="B19:C19" si="7">SUM(B16:B18)</f>
        <v>0</v>
      </c>
      <c r="C19" s="19">
        <f t="shared" si="7"/>
        <v>0</v>
      </c>
      <c r="D19" s="20"/>
      <c r="E19" s="19">
        <f>SUM(E16:E18)</f>
        <v>0</v>
      </c>
      <c r="F19" s="20"/>
      <c r="G19" s="19">
        <f t="shared" ref="G19:I19" si="8">SUM(G16:G18)</f>
        <v>0</v>
      </c>
      <c r="H19" s="19">
        <f t="shared" si="8"/>
        <v>0</v>
      </c>
      <c r="I19" s="19">
        <f t="shared" si="8"/>
        <v>0</v>
      </c>
      <c r="J19" s="19">
        <f t="shared" si="2"/>
        <v>0</v>
      </c>
      <c r="K19" s="16"/>
      <c r="L19" s="17"/>
      <c r="M19" s="17"/>
      <c r="N19" s="17"/>
      <c r="O19" s="17"/>
      <c r="P19" s="17"/>
      <c r="Q19" s="17"/>
      <c r="R19" s="17"/>
      <c r="S19" s="17"/>
      <c r="T19" s="17"/>
      <c r="U19" s="18"/>
      <c r="V19" s="18"/>
      <c r="W19" s="18"/>
      <c r="X19" s="18"/>
      <c r="Y19" s="18"/>
      <c r="Z19" s="18"/>
    </row>
    <row r="20" spans="1:26" ht="13.5" customHeight="1" x14ac:dyDescent="0.25">
      <c r="A20" s="13" t="s">
        <v>25</v>
      </c>
      <c r="B20" s="19">
        <f t="shared" ref="B20:C20" si="9">SUM(B15,B19)</f>
        <v>0</v>
      </c>
      <c r="C20" s="19">
        <f t="shared" si="9"/>
        <v>0</v>
      </c>
      <c r="D20" s="20"/>
      <c r="E20" s="19">
        <f>SUM(E15,E19)</f>
        <v>0</v>
      </c>
      <c r="F20" s="20"/>
      <c r="G20" s="19">
        <f t="shared" ref="G20:I20" si="10">SUM(G15,G19)</f>
        <v>0</v>
      </c>
      <c r="H20" s="19">
        <f t="shared" si="10"/>
        <v>0</v>
      </c>
      <c r="I20" s="19">
        <f t="shared" si="10"/>
        <v>0</v>
      </c>
      <c r="J20" s="19">
        <f t="shared" si="2"/>
        <v>0</v>
      </c>
      <c r="K20" s="16"/>
      <c r="L20" s="17"/>
      <c r="M20" s="17"/>
      <c r="N20" s="17"/>
      <c r="O20" s="17"/>
      <c r="P20" s="17"/>
      <c r="Q20" s="17"/>
      <c r="R20" s="17"/>
      <c r="S20" s="17"/>
      <c r="T20" s="17"/>
      <c r="U20" s="18"/>
      <c r="V20" s="18"/>
      <c r="W20" s="18"/>
      <c r="X20" s="18"/>
      <c r="Y20" s="18"/>
      <c r="Z20" s="18"/>
    </row>
    <row r="21" spans="1:26" ht="14.25" hidden="1" customHeight="1" x14ac:dyDescent="0.3">
      <c r="A21" s="11" t="s">
        <v>26</v>
      </c>
      <c r="B21" s="54">
        <f>+'Mon 20'!B21+'Tue 21'!B21+'Wed 22'!B21+'Thu 23'!B21+'Fri 24'!B21+'Sat 25'!B21+'Sun 26'!B21</f>
        <v>0</v>
      </c>
      <c r="C21" s="55">
        <f>+'Mon 20'!C21+'Tue 21'!C21+'Wed 22'!C21+'Thu 23'!C21+'Fri 24'!C21+'Sat 25'!C21+'Sun 26'!C21</f>
        <v>0</v>
      </c>
      <c r="D21" s="55"/>
      <c r="E21" s="54">
        <f>+'Mon 20'!E21+'Tue 21'!E21+'Wed 22'!E21+'Thu 23'!E21+'Fri 24'!E21+'Sat 25'!E21+'Sun 26'!E21</f>
        <v>0</v>
      </c>
      <c r="F21" s="55"/>
      <c r="G21" s="54">
        <f>+'Mon 20'!G21+'Tue 21'!G21+'Wed 22'!G21+'Thu 23'!G21+'Fri 24'!G21+'Sat 25'!G21+'Sun 26'!G21</f>
        <v>0</v>
      </c>
      <c r="H21" s="54">
        <f>+'Mon 20'!H21+'Tue 21'!H21+'Wed 22'!H21+'Thu 23'!H21+'Fri 24'!H21+'Sat 25'!H21+'Sun 26'!H21</f>
        <v>0</v>
      </c>
      <c r="I21" s="55">
        <f>+'Mon 20'!I21+'Tue 21'!I21+'Wed 22'!I21+'Thu 23'!I21+'Fri 24'!I21+'Sat 25'!I21+'Sun 26'!I21</f>
        <v>0</v>
      </c>
      <c r="J21" s="19">
        <f t="shared" si="2"/>
        <v>0</v>
      </c>
      <c r="K21" s="12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4"/>
      <c r="X21" s="4"/>
      <c r="Y21" s="4"/>
      <c r="Z21" s="4"/>
    </row>
    <row r="22" spans="1:26" ht="14.25" customHeight="1" x14ac:dyDescent="0.3">
      <c r="A22" s="11" t="s">
        <v>27</v>
      </c>
      <c r="B22" s="54">
        <f>+'Mon 20'!B22+'Tue 21'!B22+'Wed 22'!B22+'Thu 23'!B22+'Fri 24'!B22+'Sat 25'!B22+'Sun 26'!B22</f>
        <v>0</v>
      </c>
      <c r="C22" s="55">
        <f>+'Mon 20'!C22+'Tue 21'!C22+'Wed 22'!C22+'Thu 23'!C22+'Fri 24'!C22+'Sat 25'!C22+'Sun 26'!C22</f>
        <v>0</v>
      </c>
      <c r="D22" s="55"/>
      <c r="E22" s="54">
        <f>+'Mon 20'!E22+'Tue 21'!E22+'Wed 22'!E22+'Thu 23'!E22+'Fri 24'!E22+'Sat 25'!E22+'Sun 26'!E22</f>
        <v>0</v>
      </c>
      <c r="F22" s="55"/>
      <c r="G22" s="54">
        <f>+'Mon 20'!G22+'Tue 21'!G22+'Wed 22'!G22+'Thu 23'!G22+'Fri 24'!G22+'Sat 25'!G22+'Sun 26'!G22</f>
        <v>0</v>
      </c>
      <c r="H22" s="54">
        <f>+'Mon 20'!H22+'Tue 21'!H22+'Wed 22'!H22+'Thu 23'!H22+'Fri 24'!H22+'Sat 25'!H22+'Sun 26'!H22</f>
        <v>0</v>
      </c>
      <c r="I22" s="55">
        <f>+'Mon 20'!I22+'Tue 21'!I22+'Wed 22'!I22+'Thu 23'!I22+'Fri 24'!I22+'Sat 25'!I22+'Sun 26'!I22</f>
        <v>0</v>
      </c>
      <c r="J22" s="19">
        <f t="shared" si="2"/>
        <v>0</v>
      </c>
      <c r="K22" s="12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4"/>
      <c r="X22" s="4"/>
      <c r="Y22" s="4"/>
      <c r="Z22" s="4"/>
    </row>
    <row r="23" spans="1:26" ht="14.25" customHeight="1" x14ac:dyDescent="0.3">
      <c r="A23" s="11" t="s">
        <v>28</v>
      </c>
      <c r="B23" s="54">
        <f>+'Mon 20'!B23+'Tue 21'!B23+'Wed 22'!B23+'Thu 23'!B23+'Fri 24'!B23+'Sat 25'!B23+'Sun 26'!B23</f>
        <v>0</v>
      </c>
      <c r="C23" s="55">
        <f>+'Mon 20'!C23+'Tue 21'!C23+'Wed 22'!C23+'Thu 23'!C23+'Fri 24'!C23+'Sat 25'!C23+'Sun 26'!C23</f>
        <v>0</v>
      </c>
      <c r="D23" s="55"/>
      <c r="E23" s="54">
        <f>+'Mon 20'!E23+'Tue 21'!E23+'Wed 22'!E23+'Thu 23'!E23+'Fri 24'!E23+'Sat 25'!E23+'Sun 26'!E23</f>
        <v>0</v>
      </c>
      <c r="F23" s="55"/>
      <c r="G23" s="54">
        <f>+'Mon 20'!G23+'Tue 21'!G23+'Wed 22'!G23+'Thu 23'!G23+'Fri 24'!G23+'Sat 25'!G23+'Sun 26'!G23</f>
        <v>0</v>
      </c>
      <c r="H23" s="54">
        <f>+'Mon 20'!H23+'Tue 21'!H23+'Wed 22'!H23+'Thu 23'!H23+'Fri 24'!H23+'Sat 25'!H23+'Sun 26'!H23</f>
        <v>0</v>
      </c>
      <c r="I23" s="55">
        <f>+'Mon 20'!I23+'Tue 21'!I23+'Wed 22'!I23+'Thu 23'!I23+'Fri 24'!I23+'Sat 25'!I23+'Sun 26'!I23</f>
        <v>0</v>
      </c>
      <c r="J23" s="19">
        <f t="shared" si="2"/>
        <v>0</v>
      </c>
      <c r="K23" s="12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4"/>
      <c r="X23" s="4"/>
      <c r="Y23" s="4"/>
      <c r="Z23" s="4"/>
    </row>
    <row r="24" spans="1:26" ht="14.25" hidden="1" customHeight="1" x14ac:dyDescent="0.3">
      <c r="A24" s="11" t="s">
        <v>29</v>
      </c>
      <c r="B24" s="54">
        <f>+'Mon 20'!B24+'Tue 21'!B24+'Wed 22'!B24+'Thu 23'!B24+'Fri 24'!B24+'Sat 25'!B24+'Sun 26'!B24</f>
        <v>0</v>
      </c>
      <c r="C24" s="55">
        <f>+'Mon 20'!C24+'Tue 21'!C24+'Wed 22'!C24+'Thu 23'!C24+'Fri 24'!C24+'Sat 25'!C24+'Sun 26'!C24</f>
        <v>0</v>
      </c>
      <c r="D24" s="55"/>
      <c r="E24" s="54">
        <f>+'Mon 20'!E24+'Tue 21'!E24+'Wed 22'!E24+'Thu 23'!E24+'Fri 24'!E24+'Sat 25'!E24+'Sun 26'!E24</f>
        <v>0</v>
      </c>
      <c r="F24" s="55"/>
      <c r="G24" s="54">
        <f>+'Mon 20'!G24+'Tue 21'!G24+'Wed 22'!G24+'Thu 23'!G24+'Fri 24'!G24+'Sat 25'!G24+'Sun 26'!G24</f>
        <v>0</v>
      </c>
      <c r="H24" s="54">
        <f>+'Mon 20'!H24+'Tue 21'!H24+'Wed 22'!H24+'Thu 23'!H24+'Fri 24'!H24+'Sat 25'!H24+'Sun 26'!H24</f>
        <v>0</v>
      </c>
      <c r="I24" s="55">
        <f>+'Mon 20'!I24+'Tue 21'!I24+'Wed 22'!I24+'Thu 23'!I24+'Fri 24'!I24+'Sat 25'!I24+'Sun 26'!I24</f>
        <v>0</v>
      </c>
      <c r="J24" s="19">
        <f t="shared" si="2"/>
        <v>0</v>
      </c>
      <c r="K24" s="12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4"/>
      <c r="X24" s="4"/>
      <c r="Y24" s="4"/>
      <c r="Z24" s="4"/>
    </row>
    <row r="25" spans="1:26" ht="14.25" customHeight="1" x14ac:dyDescent="0.3">
      <c r="A25" s="11" t="s">
        <v>30</v>
      </c>
      <c r="B25" s="54">
        <f>+'Mon 20'!B25+'Tue 21'!B25+'Wed 22'!B25+'Thu 23'!B25+'Fri 24'!B25+'Sat 25'!B25+'Sun 26'!B25</f>
        <v>0</v>
      </c>
      <c r="C25" s="55">
        <f>+'Mon 20'!C25+'Tue 21'!C25+'Wed 22'!C25+'Thu 23'!C25+'Fri 24'!C25+'Sat 25'!C25+'Sun 26'!C25</f>
        <v>0</v>
      </c>
      <c r="D25" s="55"/>
      <c r="E25" s="54">
        <f>+'Mon 20'!E25+'Tue 21'!E25+'Wed 22'!E25+'Thu 23'!E25+'Fri 24'!E25+'Sat 25'!E25+'Sun 26'!E25</f>
        <v>0</v>
      </c>
      <c r="F25" s="55"/>
      <c r="G25" s="54">
        <f>+'Mon 20'!G25+'Tue 21'!G25+'Wed 22'!G25+'Thu 23'!G25+'Fri 24'!G25+'Sat 25'!G25+'Sun 26'!G25</f>
        <v>0</v>
      </c>
      <c r="H25" s="54">
        <f>+'Mon 20'!H25+'Tue 21'!H25+'Wed 22'!H25+'Thu 23'!H25+'Fri 24'!H25+'Sat 25'!H25+'Sun 26'!H25</f>
        <v>0</v>
      </c>
      <c r="I25" s="55">
        <f>+'Mon 20'!I25+'Tue 21'!I25+'Wed 22'!I25+'Thu 23'!I25+'Fri 24'!I25+'Sat 25'!I25+'Sun 26'!I25</f>
        <v>0</v>
      </c>
      <c r="J25" s="19">
        <f t="shared" si="2"/>
        <v>0</v>
      </c>
      <c r="K25" s="12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4"/>
      <c r="X25" s="4"/>
      <c r="Y25" s="4"/>
      <c r="Z25" s="4"/>
    </row>
    <row r="26" spans="1:26" ht="14.25" customHeight="1" x14ac:dyDescent="0.3">
      <c r="A26" s="11" t="s">
        <v>31</v>
      </c>
      <c r="B26" s="54">
        <f>+'Mon 20'!B26+'Tue 21'!B26+'Wed 22'!B26+'Thu 23'!B26+'Fri 24'!B26+'Sat 25'!B26+'Sun 26'!B26</f>
        <v>0</v>
      </c>
      <c r="C26" s="55">
        <f>+'Mon 20'!C26+'Tue 21'!C26+'Wed 22'!C26+'Thu 23'!C26+'Fri 24'!C26+'Sat 25'!C26+'Sun 26'!C26</f>
        <v>0</v>
      </c>
      <c r="D26" s="55"/>
      <c r="E26" s="54">
        <f>+'Mon 20'!E26+'Tue 21'!E26+'Wed 22'!E26+'Thu 23'!E26+'Fri 24'!E26+'Sat 25'!E26+'Sun 26'!E26</f>
        <v>0</v>
      </c>
      <c r="F26" s="55"/>
      <c r="G26" s="54">
        <f>+'Mon 20'!G26+'Tue 21'!G26+'Wed 22'!G26+'Thu 23'!G26+'Fri 24'!G26+'Sat 25'!G26+'Sun 26'!G26</f>
        <v>0</v>
      </c>
      <c r="H26" s="54">
        <f>+'Mon 20'!H26+'Tue 21'!H26+'Wed 22'!H26+'Thu 23'!H26+'Fri 24'!H26+'Sat 25'!H26+'Sun 26'!H26</f>
        <v>0</v>
      </c>
      <c r="I26" s="55">
        <f>+'Mon 20'!I26+'Tue 21'!I26+'Wed 22'!I26+'Thu 23'!I26+'Fri 24'!I26+'Sat 25'!I26+'Sun 26'!I26</f>
        <v>0</v>
      </c>
      <c r="J26" s="19">
        <f t="shared" si="2"/>
        <v>0</v>
      </c>
      <c r="K26" s="12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4"/>
      <c r="X26" s="4"/>
      <c r="Y26" s="4"/>
      <c r="Z26" s="4"/>
    </row>
    <row r="27" spans="1:26" ht="13.5" customHeight="1" x14ac:dyDescent="0.25">
      <c r="A27" s="13" t="s">
        <v>16</v>
      </c>
      <c r="B27" s="19">
        <f t="shared" ref="B27:C27" si="11">SUM(B21:B26)</f>
        <v>0</v>
      </c>
      <c r="C27" s="19">
        <f t="shared" si="11"/>
        <v>0</v>
      </c>
      <c r="D27" s="20"/>
      <c r="E27" s="19">
        <f>SUM(E21:E26)</f>
        <v>0</v>
      </c>
      <c r="F27" s="20"/>
      <c r="G27" s="19">
        <f t="shared" ref="G27:I27" si="12">SUM(G21:G26)</f>
        <v>0</v>
      </c>
      <c r="H27" s="19">
        <f t="shared" si="12"/>
        <v>0</v>
      </c>
      <c r="I27" s="19">
        <f t="shared" si="12"/>
        <v>0</v>
      </c>
      <c r="J27" s="19">
        <f t="shared" si="2"/>
        <v>0</v>
      </c>
      <c r="K27" s="16"/>
      <c r="L27" s="17"/>
      <c r="M27" s="17"/>
      <c r="N27" s="17"/>
      <c r="O27" s="17"/>
      <c r="P27" s="17"/>
      <c r="Q27" s="17"/>
      <c r="R27" s="17"/>
      <c r="S27" s="17"/>
      <c r="T27" s="17"/>
      <c r="U27" s="18"/>
      <c r="V27" s="18"/>
      <c r="W27" s="18"/>
      <c r="X27" s="18"/>
      <c r="Y27" s="18"/>
      <c r="Z27" s="18"/>
    </row>
    <row r="28" spans="1:26" ht="13.5" customHeight="1" x14ac:dyDescent="0.25">
      <c r="A28" s="13" t="s">
        <v>32</v>
      </c>
      <c r="B28" s="19">
        <f t="shared" ref="B28:C28" si="13">SUM(B20,B27)</f>
        <v>0</v>
      </c>
      <c r="C28" s="19">
        <f t="shared" si="13"/>
        <v>0</v>
      </c>
      <c r="D28" s="20"/>
      <c r="E28" s="19">
        <f>SUM(E20,E27)</f>
        <v>0</v>
      </c>
      <c r="F28" s="20"/>
      <c r="G28" s="19">
        <f t="shared" ref="G28:I28" si="14">SUM(G20,G27)</f>
        <v>0</v>
      </c>
      <c r="H28" s="19">
        <f t="shared" si="14"/>
        <v>0</v>
      </c>
      <c r="I28" s="19">
        <f t="shared" si="14"/>
        <v>0</v>
      </c>
      <c r="J28" s="19">
        <f t="shared" si="2"/>
        <v>0</v>
      </c>
      <c r="K28" s="16"/>
      <c r="L28" s="17"/>
      <c r="M28" s="17"/>
      <c r="N28" s="17"/>
      <c r="O28" s="17"/>
      <c r="P28" s="17"/>
      <c r="Q28" s="17"/>
      <c r="R28" s="17"/>
      <c r="S28" s="17"/>
      <c r="T28" s="17"/>
      <c r="U28" s="18"/>
      <c r="V28" s="18"/>
      <c r="W28" s="18"/>
      <c r="X28" s="18"/>
      <c r="Y28" s="18"/>
      <c r="Z28" s="18"/>
    </row>
    <row r="29" spans="1:26" ht="14.25" customHeight="1" x14ac:dyDescent="0.3">
      <c r="A29" s="11" t="s">
        <v>33</v>
      </c>
      <c r="B29" s="15">
        <f>+'Mon 20'!B29+'Tue 21'!B29+'Wed 22'!B29+'Thu 23'!B29+'Fri 24'!B29+'Sat 25'!B29+'Sun 26'!B29</f>
        <v>0</v>
      </c>
      <c r="C29" s="15">
        <f>+'Mon 20'!C29+'Tue 21'!C29+'Wed 22'!C29+'Thu 23'!C29+'Fri 24'!C29+'Sat 25'!C29+'Sun 26'!C29</f>
        <v>0</v>
      </c>
      <c r="D29" s="15"/>
      <c r="E29" s="15">
        <f>+'Mon 20'!E29+'Tue 21'!E29+'Wed 22'!E29+'Thu 23'!E29+'Fri 24'!E29+'Sat 25'!E29+'Sun 26'!E29</f>
        <v>0</v>
      </c>
      <c r="F29" s="15"/>
      <c r="G29" s="15">
        <f>+'Mon 20'!G29+'Tue 21'!G29+'Wed 22'!G29+'Thu 23'!G29+'Fri 24'!G29+'Sat 25'!G29+'Sun 26'!G29</f>
        <v>0</v>
      </c>
      <c r="H29" s="15">
        <f>+'Mon 20'!H29+'Tue 21'!H29+'Wed 22'!H29+'Thu 23'!H29+'Fri 24'!H29+'Sat 25'!H29+'Sun 26'!H29</f>
        <v>0</v>
      </c>
      <c r="I29" s="15">
        <f>+'Mon 20'!I29+'Tue 21'!I29+'Wed 22'!I29+'Thu 23'!I29+'Fri 24'!I29+'Sat 25'!I29+'Sun 26'!I29</f>
        <v>0</v>
      </c>
      <c r="J29" s="19"/>
      <c r="K29" s="12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4"/>
      <c r="X29" s="4"/>
      <c r="Y29" s="4"/>
      <c r="Z29" s="4"/>
    </row>
    <row r="30" spans="1:26" ht="14.25" customHeight="1" x14ac:dyDescent="0.3">
      <c r="A30" s="11" t="s">
        <v>34</v>
      </c>
      <c r="B30" s="15">
        <f t="shared" ref="B30:C30" si="15">+B28-B29</f>
        <v>0</v>
      </c>
      <c r="C30" s="15">
        <f t="shared" si="15"/>
        <v>0</v>
      </c>
      <c r="D30" s="15"/>
      <c r="E30" s="15">
        <f>+E28-E29</f>
        <v>0</v>
      </c>
      <c r="F30" s="15"/>
      <c r="G30" s="15">
        <f t="shared" ref="G30:I30" si="16">+G28-G29</f>
        <v>0</v>
      </c>
      <c r="H30" s="15">
        <f t="shared" si="16"/>
        <v>0</v>
      </c>
      <c r="I30" s="15">
        <f t="shared" si="16"/>
        <v>0</v>
      </c>
      <c r="J30" s="19">
        <f>SUM(B30:I30)</f>
        <v>0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4"/>
      <c r="X30" s="4"/>
      <c r="Y30" s="4"/>
      <c r="Z30" s="4"/>
    </row>
    <row r="31" spans="1:26" ht="14.25" customHeight="1" x14ac:dyDescent="0.3">
      <c r="A31" s="11" t="s">
        <v>35</v>
      </c>
      <c r="B31" s="14"/>
      <c r="C31" s="14"/>
      <c r="D31" s="14"/>
      <c r="E31" s="14"/>
      <c r="F31" s="14"/>
      <c r="G31" s="14"/>
      <c r="H31" s="14"/>
      <c r="I31" s="14"/>
      <c r="J31" s="19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4"/>
      <c r="X31" s="4"/>
      <c r="Y31" s="4"/>
      <c r="Z31" s="4"/>
    </row>
    <row r="32" spans="1:26" ht="14.25" customHeight="1" x14ac:dyDescent="0.3">
      <c r="A32" s="11" t="s">
        <v>35</v>
      </c>
      <c r="B32" s="14"/>
      <c r="C32" s="14"/>
      <c r="D32" s="14"/>
      <c r="E32" s="14"/>
      <c r="F32" s="14"/>
      <c r="G32" s="14"/>
      <c r="H32" s="14"/>
      <c r="I32" s="14"/>
      <c r="J32" s="19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4"/>
      <c r="X32" s="4"/>
      <c r="Y32" s="4"/>
      <c r="Z32" s="4"/>
    </row>
    <row r="33" spans="1:26" ht="13.5" customHeight="1" x14ac:dyDescent="0.25">
      <c r="A33" s="1" t="str">
        <f>A1</f>
        <v>HOTEL: Balaclava (Vic) - 3030</v>
      </c>
      <c r="B33" s="1"/>
      <c r="C33" s="1" t="s">
        <v>1</v>
      </c>
      <c r="D33" s="109">
        <f>D$1</f>
        <v>42792</v>
      </c>
      <c r="E33" s="1" t="s">
        <v>2</v>
      </c>
      <c r="F33" s="1"/>
      <c r="G33" s="1"/>
      <c r="H33" s="2"/>
      <c r="I33" s="2"/>
      <c r="J33" s="1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4"/>
      <c r="X33" s="4"/>
      <c r="Y33" s="4"/>
      <c r="Z33" s="4"/>
    </row>
    <row r="34" spans="1:26" ht="25.5" customHeight="1" x14ac:dyDescent="0.25">
      <c r="A34" s="21"/>
      <c r="B34" s="7" t="s">
        <v>36</v>
      </c>
      <c r="C34" s="7" t="s">
        <v>37</v>
      </c>
      <c r="D34" s="6" t="s">
        <v>38</v>
      </c>
      <c r="E34" s="6" t="s">
        <v>39</v>
      </c>
      <c r="F34" s="6" t="s">
        <v>40</v>
      </c>
      <c r="G34" s="6"/>
      <c r="H34" s="6" t="s">
        <v>42</v>
      </c>
      <c r="I34" s="6" t="s">
        <v>43</v>
      </c>
      <c r="J34" s="6" t="s">
        <v>9</v>
      </c>
      <c r="K34" s="12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4"/>
      <c r="X34" s="4"/>
      <c r="Y34" s="4"/>
      <c r="Z34" s="4"/>
    </row>
    <row r="35" spans="1:26" ht="14.25" customHeight="1" x14ac:dyDescent="0.3">
      <c r="A35" s="11" t="s">
        <v>10</v>
      </c>
      <c r="B35" s="55">
        <f>+'Mon 20'!B35+'Tue 21'!B35+'Wed 22'!B35+'Thu 23'!B35+'Fri 24'!B35+'Sat 25'!B35+'Sun 26'!B35</f>
        <v>0</v>
      </c>
      <c r="C35" s="55">
        <f>+'Mon 20'!C35+'Tue 21'!C35+'Wed 22'!C35+'Thu 23'!C35+'Fri 24'!C35+'Sat 25'!C35+'Sun 26'!C35</f>
        <v>0</v>
      </c>
      <c r="D35" s="54">
        <f>+'Mon 20'!D35+'Tue 21'!D35+'Wed 22'!D35+'Thu 23'!D35+'Fri 24'!D35+'Sat 25'!D35+'Sun 26'!D35</f>
        <v>0</v>
      </c>
      <c r="E35" s="54">
        <f>+'Mon 20'!E35+'Tue 21'!E35+'Wed 22'!E35+'Thu 23'!E35+'Fri 24'!E35+'Sat 25'!E35+'Sun 26'!E35</f>
        <v>0</v>
      </c>
      <c r="F35" s="54">
        <f>+'Mon 20'!F35+'Tue 21'!F35+'Wed 22'!F35+'Thu 23'!F35+'Fri 24'!F35+'Sat 25'!F35+'Sun 26'!F35</f>
        <v>0</v>
      </c>
      <c r="G35" s="22" t="s">
        <v>44</v>
      </c>
      <c r="H35" s="54">
        <f>+'Mon 20'!H35+'Tue 21'!H35+'Wed 22'!H35+'Thu 23'!H35+'Fri 24'!H35+'Sat 25'!H35+'Sun 26'!H35</f>
        <v>0</v>
      </c>
      <c r="I35" s="23"/>
      <c r="J35" s="19"/>
      <c r="K35" s="12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4"/>
      <c r="X35" s="4"/>
      <c r="Y35" s="4"/>
      <c r="Z35" s="4"/>
    </row>
    <row r="36" spans="1:26" ht="14.25" customHeight="1" x14ac:dyDescent="0.3">
      <c r="A36" s="11" t="s">
        <v>11</v>
      </c>
      <c r="B36" s="55">
        <f>+'Mon 20'!B36+'Tue 21'!B36+'Wed 22'!B36+'Thu 23'!B36+'Fri 24'!B36+'Sat 25'!B36+'Sun 26'!B36</f>
        <v>0</v>
      </c>
      <c r="C36" s="55">
        <f>+'Mon 20'!C36+'Tue 21'!C36+'Wed 22'!C36+'Thu 23'!C36+'Fri 24'!C36+'Sat 25'!C36+'Sun 26'!C36</f>
        <v>0</v>
      </c>
      <c r="D36" s="54">
        <f>+'Mon 20'!D36+'Tue 21'!D36+'Wed 22'!D36+'Thu 23'!D36+'Fri 24'!D36+'Sat 25'!D36+'Sun 26'!D36</f>
        <v>0</v>
      </c>
      <c r="E36" s="54">
        <f>+'Mon 20'!E36+'Tue 21'!E36+'Wed 22'!E36+'Thu 23'!E36+'Fri 24'!E36+'Sat 25'!E36+'Sun 26'!E36</f>
        <v>0</v>
      </c>
      <c r="F36" s="54">
        <f>+'Mon 20'!F36+'Tue 21'!F36+'Wed 22'!F36+'Thu 23'!F36+'Fri 24'!F36+'Sat 25'!F36+'Sun 26'!F36</f>
        <v>0</v>
      </c>
      <c r="G36" s="15" t="s">
        <v>45</v>
      </c>
      <c r="H36" s="54">
        <f>+'Mon 20'!H36+'Tue 21'!H36+'Wed 22'!H36+'Thu 23'!H36+'Fri 24'!H36+'Sat 25'!H36+'Sun 26'!H36</f>
        <v>0</v>
      </c>
      <c r="I36" s="23"/>
      <c r="J36" s="19"/>
      <c r="K36" s="1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4"/>
      <c r="X36" s="4"/>
      <c r="Y36" s="4"/>
      <c r="Z36" s="4"/>
    </row>
    <row r="37" spans="1:26" ht="14.25" customHeight="1" x14ac:dyDescent="0.3">
      <c r="A37" s="11" t="s">
        <v>12</v>
      </c>
      <c r="B37" s="55">
        <f>+'Mon 20'!B37+'Tue 21'!B37+'Wed 22'!B37+'Thu 23'!B37+'Fri 24'!B37+'Sat 25'!B37+'Sun 26'!B37</f>
        <v>0</v>
      </c>
      <c r="C37" s="55">
        <f>+'Mon 20'!C37+'Tue 21'!C37+'Wed 22'!C37+'Thu 23'!C37+'Fri 24'!C37+'Sat 25'!C37+'Sun 26'!C37</f>
        <v>0</v>
      </c>
      <c r="D37" s="54">
        <f>+'Mon 20'!D37+'Tue 21'!D37+'Wed 22'!D37+'Thu 23'!D37+'Fri 24'!D37+'Sat 25'!D37+'Sun 26'!D37</f>
        <v>0</v>
      </c>
      <c r="E37" s="54">
        <f>+'Mon 20'!E37+'Tue 21'!E37+'Wed 22'!E37+'Thu 23'!E37+'Fri 24'!E37+'Sat 25'!E37+'Sun 26'!E37</f>
        <v>0</v>
      </c>
      <c r="F37" s="54">
        <f>+'Mon 20'!F37+'Tue 21'!F37+'Wed 22'!F37+'Thu 23'!F37+'Fri 24'!F37+'Sat 25'!F37+'Sun 26'!F37</f>
        <v>0</v>
      </c>
      <c r="G37" s="15" t="s">
        <v>46</v>
      </c>
      <c r="H37" s="54">
        <f>+'Mon 20'!H37+'Tue 21'!H37+'Wed 22'!H37+'Thu 23'!H37+'Fri 24'!H37+'Sat 25'!H37+'Sun 26'!H37</f>
        <v>0</v>
      </c>
      <c r="I37" s="23"/>
      <c r="J37" s="19"/>
      <c r="K37" s="12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4"/>
      <c r="X37" s="4"/>
      <c r="Y37" s="4"/>
      <c r="Z37" s="4"/>
    </row>
    <row r="38" spans="1:26" ht="14.25" customHeight="1" x14ac:dyDescent="0.3">
      <c r="A38" s="11" t="s">
        <v>13</v>
      </c>
      <c r="B38" s="55">
        <f>+'Mon 20'!B38+'Tue 21'!B38+'Wed 22'!B38+'Thu 23'!B38+'Fri 24'!B38+'Sat 25'!B38+'Sun 26'!B38</f>
        <v>0</v>
      </c>
      <c r="C38" s="55">
        <f>+'Mon 20'!C38+'Tue 21'!C38+'Wed 22'!C38+'Thu 23'!C38+'Fri 24'!C38+'Sat 25'!C38+'Sun 26'!C38</f>
        <v>0</v>
      </c>
      <c r="D38" s="54">
        <f>+'Mon 20'!D38+'Tue 21'!D38+'Wed 22'!D38+'Thu 23'!D38+'Fri 24'!D38+'Sat 25'!D38+'Sun 26'!D38</f>
        <v>0</v>
      </c>
      <c r="E38" s="54">
        <f>+'Mon 20'!E38+'Tue 21'!E38+'Wed 22'!E38+'Thu 23'!E38+'Fri 24'!E38+'Sat 25'!E38+'Sun 26'!E38</f>
        <v>0</v>
      </c>
      <c r="F38" s="54">
        <f>+'Mon 20'!F38+'Tue 21'!F38+'Wed 22'!F38+'Thu 23'!F38+'Fri 24'!F38+'Sat 25'!F38+'Sun 26'!F38</f>
        <v>0</v>
      </c>
      <c r="G38" s="15" t="s">
        <v>47</v>
      </c>
      <c r="H38" s="54">
        <f>+'Mon 20'!H38+'Tue 21'!H38+'Wed 22'!H38+'Thu 23'!H38+'Fri 24'!H38+'Sat 25'!H38+'Sun 26'!H38</f>
        <v>0</v>
      </c>
      <c r="I38" s="23"/>
      <c r="J38" s="19"/>
      <c r="K38" s="12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4"/>
      <c r="X38" s="4"/>
      <c r="Y38" s="4"/>
      <c r="Z38" s="4"/>
    </row>
    <row r="39" spans="1:26" ht="14.25" customHeight="1" x14ac:dyDescent="0.3">
      <c r="A39" s="11" t="s">
        <v>14</v>
      </c>
      <c r="B39" s="55">
        <f>+'Mon 20'!B39+'Tue 21'!B39+'Wed 22'!B39+'Thu 23'!B39+'Fri 24'!B39+'Sat 25'!B39+'Sun 26'!B39</f>
        <v>0</v>
      </c>
      <c r="C39" s="55">
        <f>+'Mon 20'!C39+'Tue 21'!C39+'Wed 22'!C39+'Thu 23'!C39+'Fri 24'!C39+'Sat 25'!C39+'Sun 26'!C39</f>
        <v>0</v>
      </c>
      <c r="D39" s="54">
        <f>+'Mon 20'!D39+'Tue 21'!D39+'Wed 22'!D39+'Thu 23'!D39+'Fri 24'!D39+'Sat 25'!D39+'Sun 26'!D39</f>
        <v>0</v>
      </c>
      <c r="E39" s="54">
        <f>+'Mon 20'!E39+'Tue 21'!E39+'Wed 22'!E39+'Thu 23'!E39+'Fri 24'!E39+'Sat 25'!E39+'Sun 26'!E39</f>
        <v>0</v>
      </c>
      <c r="F39" s="54">
        <f>+'Mon 20'!F39+'Tue 21'!F39+'Wed 22'!F39+'Thu 23'!F39+'Fri 24'!F39+'Sat 25'!F39+'Sun 26'!F39</f>
        <v>0</v>
      </c>
      <c r="G39" s="15" t="s">
        <v>48</v>
      </c>
      <c r="H39" s="54">
        <f>+'Mon 20'!H39+'Tue 21'!H39+'Wed 22'!H39+'Thu 23'!H39+'Fri 24'!H39+'Sat 25'!H39+'Sun 26'!H39</f>
        <v>0</v>
      </c>
      <c r="I39" s="23"/>
      <c r="J39" s="19"/>
      <c r="K39" s="12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4"/>
      <c r="X39" s="4"/>
      <c r="Y39" s="4"/>
      <c r="Z39" s="4"/>
    </row>
    <row r="40" spans="1:26" ht="14.25" customHeight="1" x14ac:dyDescent="0.3">
      <c r="A40" s="11" t="s">
        <v>15</v>
      </c>
      <c r="B40" s="55">
        <f>+'Mon 20'!B40+'Tue 21'!B40+'Wed 22'!B40+'Thu 23'!B40+'Fri 24'!B40+'Sat 25'!B40+'Sun 26'!B40</f>
        <v>0</v>
      </c>
      <c r="C40" s="55">
        <f>+'Mon 20'!C40+'Tue 21'!C40+'Wed 22'!C40+'Thu 23'!C40+'Fri 24'!C40+'Sat 25'!C40+'Sun 26'!C40</f>
        <v>0</v>
      </c>
      <c r="D40" s="54">
        <f>+'Mon 20'!D40+'Tue 21'!D40+'Wed 22'!D40+'Thu 23'!D40+'Fri 24'!D40+'Sat 25'!D40+'Sun 26'!D40</f>
        <v>0</v>
      </c>
      <c r="E40" s="54">
        <f>+'Mon 20'!E40+'Tue 21'!E40+'Wed 22'!E40+'Thu 23'!E40+'Fri 24'!E40+'Sat 25'!E40+'Sun 26'!E40</f>
        <v>0</v>
      </c>
      <c r="F40" s="54">
        <f>+'Mon 20'!F40+'Tue 21'!F40+'Wed 22'!F40+'Thu 23'!F40+'Fri 24'!F40+'Sat 25'!F40+'Sun 26'!F40</f>
        <v>0</v>
      </c>
      <c r="G40" s="15"/>
      <c r="H40" s="54">
        <f>+'Mon 20'!H40+'Tue 21'!H40+'Wed 22'!H40+'Thu 23'!H40+'Fri 24'!H40+'Sat 25'!H40+'Sun 26'!H40</f>
        <v>0</v>
      </c>
      <c r="I40" s="23"/>
      <c r="J40" s="19"/>
      <c r="K40" s="12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4"/>
      <c r="X40" s="4"/>
      <c r="Y40" s="4"/>
      <c r="Z40" s="4"/>
    </row>
    <row r="41" spans="1:26" ht="14.25" customHeight="1" x14ac:dyDescent="0.3">
      <c r="A41" s="11" t="s">
        <v>49</v>
      </c>
      <c r="B41" s="55">
        <f>+'Mon 20'!B41+'Tue 21'!B41+'Wed 22'!B41+'Thu 23'!B41+'Fri 24'!B41+'Sat 25'!B41+'Sun 26'!B41</f>
        <v>0</v>
      </c>
      <c r="C41" s="55">
        <f>+'Mon 20'!C41+'Tue 21'!C41+'Wed 22'!C41+'Thu 23'!C41+'Fri 24'!C41+'Sat 25'!C41+'Sun 26'!C41</f>
        <v>0</v>
      </c>
      <c r="D41" s="54">
        <f>+'Mon 20'!D41+'Tue 21'!D41+'Wed 22'!D41+'Thu 23'!D41+'Fri 24'!D41+'Sat 25'!D41+'Sun 26'!D41</f>
        <v>0</v>
      </c>
      <c r="E41" s="54">
        <f>+'Mon 20'!E41+'Tue 21'!E41+'Wed 22'!E41+'Thu 23'!E41+'Fri 24'!E41+'Sat 25'!E41+'Sun 26'!E41</f>
        <v>0</v>
      </c>
      <c r="F41" s="54">
        <f>+'Mon 20'!F41+'Tue 21'!F41+'Wed 22'!F41+'Thu 23'!F41+'Fri 24'!F41+'Sat 25'!F41+'Sun 26'!F41</f>
        <v>0</v>
      </c>
      <c r="G41" s="15"/>
      <c r="H41" s="54">
        <f>+'Mon 20'!H41+'Tue 21'!H41+'Wed 22'!H41+'Thu 23'!H41+'Fri 24'!H41+'Sat 25'!H41+'Sun 26'!H41</f>
        <v>0</v>
      </c>
      <c r="I41" s="23"/>
      <c r="J41" s="19"/>
      <c r="K41" s="12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4"/>
      <c r="X41" s="4"/>
      <c r="Y41" s="4"/>
      <c r="Z41" s="4"/>
    </row>
    <row r="42" spans="1:26" ht="14.25" customHeight="1" x14ac:dyDescent="0.3">
      <c r="A42" s="11" t="s">
        <v>50</v>
      </c>
      <c r="B42" s="55">
        <f>+'Mon 20'!B42+'Tue 21'!B42+'Wed 22'!B42+'Thu 23'!B42+'Fri 24'!B42+'Sat 25'!B42+'Sun 26'!B42</f>
        <v>0</v>
      </c>
      <c r="C42" s="55">
        <f>+'Mon 20'!C42+'Tue 21'!C42+'Wed 22'!C42+'Thu 23'!C42+'Fri 24'!C42+'Sat 25'!C42+'Sun 26'!C42</f>
        <v>0</v>
      </c>
      <c r="D42" s="54">
        <f>+'Mon 20'!D42+'Tue 21'!D42+'Wed 22'!D42+'Thu 23'!D42+'Fri 24'!D42+'Sat 25'!D42+'Sun 26'!D42</f>
        <v>0</v>
      </c>
      <c r="E42" s="54">
        <f>+'Mon 20'!E42+'Tue 21'!E42+'Wed 22'!E42+'Thu 23'!E42+'Fri 24'!E42+'Sat 25'!E42+'Sun 26'!E42</f>
        <v>0</v>
      </c>
      <c r="F42" s="54">
        <f>+'Mon 20'!F42+'Tue 21'!F42+'Wed 22'!F42+'Thu 23'!F42+'Fri 24'!F42+'Sat 25'!F42+'Sun 26'!F42</f>
        <v>0</v>
      </c>
      <c r="G42" s="15"/>
      <c r="H42" s="54">
        <f>+'Mon 20'!H42+'Tue 21'!H42+'Wed 22'!H42+'Thu 23'!H42+'Fri 24'!H42+'Sat 25'!H42+'Sun 26'!H42</f>
        <v>0</v>
      </c>
      <c r="I42" s="23"/>
      <c r="J42" s="19"/>
      <c r="K42" s="12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4"/>
      <c r="X42" s="4"/>
      <c r="Y42" s="4"/>
      <c r="Z42" s="4"/>
    </row>
    <row r="43" spans="1:26" ht="14.25" customHeight="1" x14ac:dyDescent="0.3">
      <c r="A43" s="11" t="s">
        <v>51</v>
      </c>
      <c r="B43" s="55">
        <f>+'Mon 20'!B43+'Tue 21'!B43+'Wed 22'!B43+'Thu 23'!B43+'Fri 24'!B43+'Sat 25'!B43+'Sun 26'!B43</f>
        <v>0</v>
      </c>
      <c r="C43" s="55">
        <f>+'Mon 20'!C43+'Tue 21'!C43+'Wed 22'!C43+'Thu 23'!C43+'Fri 24'!C43+'Sat 25'!C43+'Sun 26'!C43</f>
        <v>0</v>
      </c>
      <c r="D43" s="54">
        <f>+'Mon 20'!D43+'Tue 21'!D43+'Wed 22'!D43+'Thu 23'!D43+'Fri 24'!D43+'Sat 25'!D43+'Sun 26'!D43</f>
        <v>0</v>
      </c>
      <c r="E43" s="54">
        <f>+'Mon 20'!E43+'Tue 21'!E43+'Wed 22'!E43+'Thu 23'!E43+'Fri 24'!E43+'Sat 25'!E43+'Sun 26'!E43</f>
        <v>0</v>
      </c>
      <c r="F43" s="54">
        <f>+'Mon 20'!F43+'Tue 21'!F43+'Wed 22'!F43+'Thu 23'!F43+'Fri 24'!F43+'Sat 25'!F43+'Sun 26'!F43</f>
        <v>0</v>
      </c>
      <c r="G43" s="15" t="s">
        <v>52</v>
      </c>
      <c r="H43" s="54">
        <f>+'Mon 20'!H43+'Tue 21'!H43+'Wed 22'!H43+'Thu 23'!H43+'Fri 24'!H43+'Sat 25'!H43+'Sun 26'!H43</f>
        <v>0</v>
      </c>
      <c r="I43" s="23"/>
      <c r="J43" s="19"/>
      <c r="K43" s="12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4"/>
      <c r="X43" s="4"/>
      <c r="Y43" s="4"/>
      <c r="Z43" s="4"/>
    </row>
    <row r="44" spans="1:26" ht="14.25" customHeight="1" x14ac:dyDescent="0.3">
      <c r="A44" s="11" t="s">
        <v>53</v>
      </c>
      <c r="B44" s="55">
        <f>+'Mon 20'!B44+'Tue 21'!B44+'Wed 22'!B44+'Thu 23'!B44+'Fri 24'!B44+'Sat 25'!B44+'Sun 26'!B44</f>
        <v>0</v>
      </c>
      <c r="C44" s="55">
        <f>+'Mon 20'!C44+'Tue 21'!C44+'Wed 22'!C44+'Thu 23'!C44+'Fri 24'!C44+'Sat 25'!C44+'Sun 26'!C44</f>
        <v>0</v>
      </c>
      <c r="D44" s="54">
        <f>+'Mon 20'!D44+'Tue 21'!D44+'Wed 22'!D44+'Thu 23'!D44+'Fri 24'!D44+'Sat 25'!D44+'Sun 26'!D44</f>
        <v>0</v>
      </c>
      <c r="E44" s="54">
        <f>+'Mon 20'!E44+'Tue 21'!E44+'Wed 22'!E44+'Thu 23'!E44+'Fri 24'!E44+'Sat 25'!E44+'Sun 26'!E44</f>
        <v>0</v>
      </c>
      <c r="F44" s="54">
        <f>+'Mon 20'!F44+'Tue 21'!F44+'Wed 22'!F44+'Thu 23'!F44+'Fri 24'!F44+'Sat 25'!F44+'Sun 26'!F44</f>
        <v>0</v>
      </c>
      <c r="G44" s="15" t="s">
        <v>54</v>
      </c>
      <c r="H44" s="54">
        <f>+'Mon 20'!H44+'Tue 21'!H44+'Wed 22'!H44+'Thu 23'!H44+'Fri 24'!H44+'Sat 25'!H44+'Sun 26'!H44</f>
        <v>0</v>
      </c>
      <c r="I44" s="24"/>
      <c r="J44" s="19"/>
      <c r="K44" s="12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4"/>
      <c r="X44" s="4"/>
      <c r="Y44" s="4"/>
      <c r="Z44" s="4"/>
    </row>
    <row r="45" spans="1:26" ht="13.5" customHeight="1" x14ac:dyDescent="0.25">
      <c r="A45" s="13" t="s">
        <v>16</v>
      </c>
      <c r="B45" s="19">
        <f t="shared" ref="B45:F45" si="17">SUM(B35:B44)</f>
        <v>0</v>
      </c>
      <c r="C45" s="19">
        <f t="shared" si="17"/>
        <v>0</v>
      </c>
      <c r="D45" s="19">
        <f t="shared" si="17"/>
        <v>0</v>
      </c>
      <c r="E45" s="19">
        <f t="shared" si="17"/>
        <v>0</v>
      </c>
      <c r="F45" s="19">
        <f t="shared" si="17"/>
        <v>0</v>
      </c>
      <c r="G45" s="19"/>
      <c r="H45" s="19">
        <f>SUM(H35:H44)</f>
        <v>0</v>
      </c>
      <c r="I45" s="25"/>
      <c r="J45" s="19">
        <f t="shared" ref="J45:J64" si="18">SUM(B45:I45)+J9</f>
        <v>0</v>
      </c>
      <c r="K45" s="12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4"/>
      <c r="X45" s="4"/>
      <c r="Y45" s="4"/>
      <c r="Z45" s="4"/>
    </row>
    <row r="46" spans="1:26" ht="14.25" customHeight="1" x14ac:dyDescent="0.3">
      <c r="A46" s="11" t="s">
        <v>17</v>
      </c>
      <c r="B46" s="55">
        <f>+'Mon 20'!B46+'Tue 21'!B46+'Wed 22'!B46+'Thu 23'!B46+'Fri 24'!B46+'Sat 25'!B46+'Sun 26'!B46</f>
        <v>0</v>
      </c>
      <c r="C46" s="55">
        <f>+'Mon 20'!C46+'Tue 21'!C46+'Wed 22'!C46+'Thu 23'!C46+'Fri 24'!C46+'Sat 25'!C46+'Sun 26'!C46</f>
        <v>0</v>
      </c>
      <c r="D46" s="54">
        <f>+'Mon 20'!D46+'Tue 21'!D46+'Wed 22'!D46+'Thu 23'!D46+'Fri 24'!D46+'Sat 25'!D46+'Sun 26'!D46</f>
        <v>0</v>
      </c>
      <c r="E46" s="54">
        <f>+'Mon 20'!E46+'Tue 21'!E46+'Wed 22'!E46+'Thu 23'!E46+'Fri 24'!E46+'Sat 25'!E46+'Sun 26'!E46</f>
        <v>0</v>
      </c>
      <c r="F46" s="100">
        <f>+'Mon 20'!F46+'Tue 21'!F46+'Wed 22'!F46+'Thu 23'!F46+'Fri 24'!F46+'Sat 25'!F46+'Sun 26'!F46</f>
        <v>0</v>
      </c>
      <c r="G46" s="54"/>
      <c r="H46" s="100">
        <f>+'Mon 20'!H46+'Tue 21'!H46+'Wed 22'!H46+'Thu 23'!H46+'Fri 24'!H46+'Sat 25'!H46+'Sun 26'!H46</f>
        <v>0</v>
      </c>
      <c r="I46" s="23"/>
      <c r="J46" s="19">
        <f t="shared" si="18"/>
        <v>0</v>
      </c>
      <c r="K46" s="12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4"/>
      <c r="X46" s="4"/>
      <c r="Y46" s="4"/>
      <c r="Z46" s="4"/>
    </row>
    <row r="47" spans="1:26" ht="14.25" customHeight="1" x14ac:dyDescent="0.3">
      <c r="A47" s="11" t="s">
        <v>18</v>
      </c>
      <c r="B47" s="55">
        <f>+'Mon 20'!B47+'Tue 21'!B47+'Wed 22'!B47+'Thu 23'!B47+'Fri 24'!B47+'Sat 25'!B47+'Sun 26'!B47</f>
        <v>0</v>
      </c>
      <c r="C47" s="55">
        <f>+'Mon 20'!C47+'Tue 21'!C47+'Wed 22'!C47+'Thu 23'!C47+'Fri 24'!C47+'Sat 25'!C47+'Sun 26'!C47</f>
        <v>0</v>
      </c>
      <c r="D47" s="54">
        <f>+'Mon 20'!D47+'Tue 21'!D47+'Wed 22'!D47+'Thu 23'!D47+'Fri 24'!D47+'Sat 25'!D47+'Sun 26'!D47</f>
        <v>0</v>
      </c>
      <c r="E47" s="54">
        <f>+'Mon 20'!E47+'Tue 21'!E47+'Wed 22'!E47+'Thu 23'!E47+'Fri 24'!E47+'Sat 25'!E47+'Sun 26'!E47</f>
        <v>0</v>
      </c>
      <c r="F47" s="100">
        <f>+'Mon 20'!F47+'Tue 21'!F47+'Wed 22'!F47+'Thu 23'!F47+'Fri 24'!F47+'Sat 25'!F47+'Sun 26'!F47</f>
        <v>0</v>
      </c>
      <c r="G47" s="54"/>
      <c r="H47" s="100">
        <f>+'Mon 20'!H47+'Tue 21'!H47+'Wed 22'!H47+'Thu 23'!H47+'Fri 24'!H47+'Sat 25'!H47+'Sun 26'!H47</f>
        <v>0</v>
      </c>
      <c r="I47" s="23"/>
      <c r="J47" s="19">
        <f t="shared" si="18"/>
        <v>0</v>
      </c>
      <c r="K47" s="12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4"/>
      <c r="X47" s="4"/>
      <c r="Y47" s="4"/>
      <c r="Z47" s="4"/>
    </row>
    <row r="48" spans="1:26" ht="14.25" customHeight="1" x14ac:dyDescent="0.3">
      <c r="A48" s="11" t="s">
        <v>19</v>
      </c>
      <c r="B48" s="55">
        <f>+'Mon 20'!B48+'Tue 21'!B48+'Wed 22'!B48+'Thu 23'!B48+'Fri 24'!B48+'Sat 25'!B48+'Sun 26'!B48</f>
        <v>0</v>
      </c>
      <c r="C48" s="55">
        <f>+'Mon 20'!C48+'Tue 21'!C48+'Wed 22'!C48+'Thu 23'!C48+'Fri 24'!C48+'Sat 25'!C48+'Sun 26'!C48</f>
        <v>0</v>
      </c>
      <c r="D48" s="54">
        <f>+'Mon 20'!D48+'Tue 21'!D48+'Wed 22'!D48+'Thu 23'!D48+'Fri 24'!D48+'Sat 25'!D48+'Sun 26'!D48</f>
        <v>0</v>
      </c>
      <c r="E48" s="54">
        <f>+'Mon 20'!E48+'Tue 21'!E48+'Wed 22'!E48+'Thu 23'!E48+'Fri 24'!E48+'Sat 25'!E48+'Sun 26'!E48</f>
        <v>0</v>
      </c>
      <c r="F48" s="100">
        <f>+'Mon 20'!F48+'Tue 21'!F48+'Wed 22'!F48+'Thu 23'!F48+'Fri 24'!F48+'Sat 25'!F48+'Sun 26'!F48</f>
        <v>0</v>
      </c>
      <c r="G48" s="54"/>
      <c r="H48" s="100">
        <f>+'Mon 20'!H48+'Tue 21'!H48+'Wed 22'!H48+'Thu 23'!H48+'Fri 24'!H48+'Sat 25'!H48+'Sun 26'!H48</f>
        <v>0</v>
      </c>
      <c r="I48" s="23"/>
      <c r="J48" s="19">
        <f t="shared" si="18"/>
        <v>0</v>
      </c>
      <c r="K48" s="12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4"/>
      <c r="X48" s="4"/>
      <c r="Y48" s="4"/>
      <c r="Z48" s="4"/>
    </row>
    <row r="49" spans="1:26" ht="14.25" customHeight="1" x14ac:dyDescent="0.3">
      <c r="A49" s="11" t="s">
        <v>20</v>
      </c>
      <c r="B49" s="55">
        <f>+'Mon 20'!B49+'Tue 21'!B49+'Wed 22'!B49+'Thu 23'!B49+'Fri 24'!B49+'Sat 25'!B49+'Sun 26'!B49</f>
        <v>0</v>
      </c>
      <c r="C49" s="55">
        <f>+'Mon 20'!C49+'Tue 21'!C49+'Wed 22'!C49+'Thu 23'!C49+'Fri 24'!C49+'Sat 25'!C49+'Sun 26'!C49</f>
        <v>0</v>
      </c>
      <c r="D49" s="54">
        <f>+'Mon 20'!D49+'Tue 21'!D49+'Wed 22'!D49+'Thu 23'!D49+'Fri 24'!D49+'Sat 25'!D49+'Sun 26'!D49</f>
        <v>0</v>
      </c>
      <c r="E49" s="54">
        <f>+'Mon 20'!E49+'Tue 21'!E49+'Wed 22'!E49+'Thu 23'!E49+'Fri 24'!E49+'Sat 25'!E49+'Sun 26'!E49</f>
        <v>0</v>
      </c>
      <c r="F49" s="100">
        <f>+'Mon 20'!F49+'Tue 21'!F49+'Wed 22'!F49+'Thu 23'!F49+'Fri 24'!F49+'Sat 25'!F49+'Sun 26'!F49</f>
        <v>0</v>
      </c>
      <c r="G49" s="54"/>
      <c r="H49" s="100">
        <f>+'Mon 20'!H49+'Tue 21'!H49+'Wed 22'!H49+'Thu 23'!H49+'Fri 24'!H49+'Sat 25'!H49+'Sun 26'!H49</f>
        <v>0</v>
      </c>
      <c r="I49" s="23"/>
      <c r="J49" s="19">
        <f t="shared" si="18"/>
        <v>0</v>
      </c>
      <c r="K49" s="12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4"/>
      <c r="X49" s="4"/>
      <c r="Y49" s="4"/>
      <c r="Z49" s="4"/>
    </row>
    <row r="50" spans="1:26" ht="13.5" customHeight="1" x14ac:dyDescent="0.25">
      <c r="A50" s="13" t="s">
        <v>21</v>
      </c>
      <c r="B50" s="19">
        <f t="shared" ref="B50:F50" si="19">SUM(B46:B49)</f>
        <v>0</v>
      </c>
      <c r="C50" s="19">
        <f t="shared" si="19"/>
        <v>0</v>
      </c>
      <c r="D50" s="19">
        <f t="shared" si="19"/>
        <v>0</v>
      </c>
      <c r="E50" s="19">
        <f t="shared" si="19"/>
        <v>0</v>
      </c>
      <c r="F50" s="19">
        <f t="shared" si="19"/>
        <v>0</v>
      </c>
      <c r="G50" s="19"/>
      <c r="H50" s="19"/>
      <c r="I50" s="25"/>
      <c r="J50" s="19">
        <f t="shared" si="18"/>
        <v>0</v>
      </c>
      <c r="K50" s="12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4"/>
      <c r="X50" s="4"/>
      <c r="Y50" s="4"/>
      <c r="Z50" s="4"/>
    </row>
    <row r="51" spans="1:26" ht="13.5" customHeight="1" x14ac:dyDescent="0.25">
      <c r="A51" s="13" t="s">
        <v>16</v>
      </c>
      <c r="B51" s="19">
        <f t="shared" ref="B51:F51" si="20">SUM(B50,B45)</f>
        <v>0</v>
      </c>
      <c r="C51" s="19">
        <f t="shared" si="20"/>
        <v>0</v>
      </c>
      <c r="D51" s="19">
        <f t="shared" si="20"/>
        <v>0</v>
      </c>
      <c r="E51" s="19">
        <f t="shared" si="20"/>
        <v>0</v>
      </c>
      <c r="F51" s="19">
        <f t="shared" si="20"/>
        <v>0</v>
      </c>
      <c r="G51" s="19"/>
      <c r="H51" s="19">
        <f>SUM(H50,H45)</f>
        <v>0</v>
      </c>
      <c r="I51" s="25"/>
      <c r="J51" s="19">
        <f t="shared" si="18"/>
        <v>0</v>
      </c>
      <c r="K51" s="12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4"/>
      <c r="X51" s="4"/>
      <c r="Y51" s="4"/>
      <c r="Z51" s="4"/>
    </row>
    <row r="52" spans="1:26" ht="14.25" customHeight="1" x14ac:dyDescent="0.3">
      <c r="A52" s="11" t="s">
        <v>22</v>
      </c>
      <c r="B52" s="55">
        <f>+'Mon 20'!B52+'Tue 21'!B52+'Wed 22'!B52+'Thu 23'!B52+'Fri 24'!B52+'Sat 25'!B52+'Sun 26'!B52</f>
        <v>0</v>
      </c>
      <c r="C52" s="55">
        <f>+'Mon 20'!C52+'Tue 21'!C52+'Wed 22'!C52+'Thu 23'!C52+'Fri 24'!C52+'Sat 25'!C52+'Sun 26'!C52</f>
        <v>0</v>
      </c>
      <c r="D52" s="54">
        <f>+'Mon 20'!D52+'Tue 21'!D52+'Wed 22'!D52+'Thu 23'!D52+'Fri 24'!D52+'Sat 25'!D52+'Sun 26'!D52</f>
        <v>0</v>
      </c>
      <c r="E52" s="54">
        <f>+'Mon 20'!E52+'Tue 21'!E52+'Wed 22'!E52+'Thu 23'!E52+'Fri 24'!E52+'Sat 25'!E52+'Sun 26'!E52</f>
        <v>0</v>
      </c>
      <c r="F52" s="100">
        <f>+'Mon 20'!F52+'Tue 21'!F52+'Wed 22'!F52+'Thu 23'!F52+'Fri 24'!F52+'Sat 25'!F52+'Sun 26'!F52</f>
        <v>0</v>
      </c>
      <c r="G52" s="54"/>
      <c r="H52" s="100">
        <f>+'Mon 20'!H52+'Tue 21'!H52+'Wed 22'!H52+'Thu 23'!H52+'Fri 24'!H52+'Sat 25'!H52+'Sun 26'!H52</f>
        <v>0</v>
      </c>
      <c r="I52" s="23"/>
      <c r="J52" s="19">
        <f t="shared" si="18"/>
        <v>0</v>
      </c>
      <c r="K52" s="12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4"/>
      <c r="X52" s="4"/>
      <c r="Y52" s="4"/>
      <c r="Z52" s="4"/>
    </row>
    <row r="53" spans="1:26" ht="14.25" customHeight="1" x14ac:dyDescent="0.3">
      <c r="A53" s="11" t="s">
        <v>23</v>
      </c>
      <c r="B53" s="55">
        <f>+'Mon 20'!B53+'Tue 21'!B53+'Wed 22'!B53+'Thu 23'!B53+'Fri 24'!B53+'Sat 25'!B53+'Sun 26'!B53</f>
        <v>0</v>
      </c>
      <c r="C53" s="55">
        <f>+'Mon 20'!C53+'Tue 21'!C53+'Wed 22'!C53+'Thu 23'!C53+'Fri 24'!C53+'Sat 25'!C53+'Sun 26'!C53</f>
        <v>0</v>
      </c>
      <c r="D53" s="54">
        <f>+'Mon 20'!D53+'Tue 21'!D53+'Wed 22'!D53+'Thu 23'!D53+'Fri 24'!D53+'Sat 25'!D53+'Sun 26'!D53</f>
        <v>0</v>
      </c>
      <c r="E53" s="54">
        <f>+'Mon 20'!E53+'Tue 21'!E53+'Wed 22'!E53+'Thu 23'!E53+'Fri 24'!E53+'Sat 25'!E53+'Sun 26'!E53</f>
        <v>0</v>
      </c>
      <c r="F53" s="100">
        <f>+'Mon 20'!F53+'Tue 21'!F53+'Wed 22'!F53+'Thu 23'!F53+'Fri 24'!F53+'Sat 25'!F53+'Sun 26'!F53</f>
        <v>0</v>
      </c>
      <c r="G53" s="54"/>
      <c r="H53" s="100">
        <f>+'Mon 20'!H53+'Tue 21'!H53+'Wed 22'!H53+'Thu 23'!H53+'Fri 24'!H53+'Sat 25'!H53+'Sun 26'!H53</f>
        <v>0</v>
      </c>
      <c r="I53" s="23"/>
      <c r="J53" s="19">
        <f t="shared" si="18"/>
        <v>0</v>
      </c>
      <c r="K53" s="12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4"/>
      <c r="X53" s="4"/>
      <c r="Y53" s="4"/>
      <c r="Z53" s="4"/>
    </row>
    <row r="54" spans="1:26" ht="14.25" customHeight="1" x14ac:dyDescent="0.3">
      <c r="A54" s="11" t="s">
        <v>24</v>
      </c>
      <c r="B54" s="55">
        <f>+'Mon 20'!B54+'Tue 21'!B54+'Wed 22'!B54+'Thu 23'!B54+'Fri 24'!B54+'Sat 25'!B54+'Sun 26'!B54</f>
        <v>0</v>
      </c>
      <c r="C54" s="55">
        <f>+'Mon 20'!C54+'Tue 21'!C54+'Wed 22'!C54+'Thu 23'!C54+'Fri 24'!C54+'Sat 25'!C54+'Sun 26'!C54</f>
        <v>0</v>
      </c>
      <c r="D54" s="54">
        <f>+'Mon 20'!D54+'Tue 21'!D54+'Wed 22'!D54+'Thu 23'!D54+'Fri 24'!D54+'Sat 25'!D54+'Sun 26'!D54</f>
        <v>0</v>
      </c>
      <c r="E54" s="54">
        <f>+'Mon 20'!E54+'Tue 21'!E54+'Wed 22'!E54+'Thu 23'!E54+'Fri 24'!E54+'Sat 25'!E54+'Sun 26'!E54</f>
        <v>0</v>
      </c>
      <c r="F54" s="100">
        <f>+'Mon 20'!F54+'Tue 21'!F54+'Wed 22'!F54+'Thu 23'!F54+'Fri 24'!F54+'Sat 25'!F54+'Sun 26'!F54</f>
        <v>0</v>
      </c>
      <c r="G54" s="54"/>
      <c r="H54" s="100">
        <f>+'Mon 20'!H54+'Tue 21'!H54+'Wed 22'!H54+'Thu 23'!H54+'Fri 24'!H54+'Sat 25'!H54+'Sun 26'!H54</f>
        <v>0</v>
      </c>
      <c r="I54" s="23"/>
      <c r="J54" s="19">
        <f t="shared" si="18"/>
        <v>0</v>
      </c>
      <c r="K54" s="12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4"/>
      <c r="X54" s="4"/>
      <c r="Y54" s="4"/>
      <c r="Z54" s="4"/>
    </row>
    <row r="55" spans="1:26" ht="13.5" customHeight="1" x14ac:dyDescent="0.25">
      <c r="A55" s="13" t="s">
        <v>16</v>
      </c>
      <c r="B55" s="19">
        <f t="shared" ref="B55:F55" si="21">SUM(B52:B54)</f>
        <v>0</v>
      </c>
      <c r="C55" s="19">
        <f t="shared" si="21"/>
        <v>0</v>
      </c>
      <c r="D55" s="19">
        <f t="shared" si="21"/>
        <v>0</v>
      </c>
      <c r="E55" s="19">
        <f t="shared" si="21"/>
        <v>0</v>
      </c>
      <c r="F55" s="19">
        <f t="shared" si="21"/>
        <v>0</v>
      </c>
      <c r="G55" s="19"/>
      <c r="H55" s="19">
        <f>SUM(H52:H54)</f>
        <v>0</v>
      </c>
      <c r="I55" s="25"/>
      <c r="J55" s="19">
        <f t="shared" si="18"/>
        <v>0</v>
      </c>
      <c r="K55" s="12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4"/>
      <c r="X55" s="4"/>
      <c r="Y55" s="4"/>
      <c r="Z55" s="4"/>
    </row>
    <row r="56" spans="1:26" ht="13.5" customHeight="1" x14ac:dyDescent="0.25">
      <c r="A56" s="13" t="s">
        <v>25</v>
      </c>
      <c r="B56" s="19">
        <f t="shared" ref="B56:F56" si="22">SUM(B51,B55)</f>
        <v>0</v>
      </c>
      <c r="C56" s="19">
        <f t="shared" si="22"/>
        <v>0</v>
      </c>
      <c r="D56" s="19">
        <f t="shared" si="22"/>
        <v>0</v>
      </c>
      <c r="E56" s="19">
        <f t="shared" si="22"/>
        <v>0</v>
      </c>
      <c r="F56" s="19">
        <f t="shared" si="22"/>
        <v>0</v>
      </c>
      <c r="G56" s="19"/>
      <c r="H56" s="19">
        <f>SUM(H51,H55)</f>
        <v>0</v>
      </c>
      <c r="I56" s="25"/>
      <c r="J56" s="19">
        <f t="shared" si="18"/>
        <v>0</v>
      </c>
      <c r="K56" s="12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4"/>
      <c r="X56" s="4"/>
      <c r="Y56" s="4"/>
      <c r="Z56" s="4"/>
    </row>
    <row r="57" spans="1:26" ht="14.25" hidden="1" customHeight="1" x14ac:dyDescent="0.3">
      <c r="A57" s="11" t="s">
        <v>26</v>
      </c>
      <c r="B57" s="55">
        <f>+'Mon 20'!B57+'Tue 21'!B57+'Wed 22'!B57+'Thu 23'!B57+'Fri 24'!B57+'Sat 25'!B57+'Sun 26'!B57</f>
        <v>0</v>
      </c>
      <c r="C57" s="55">
        <f>+'Mon 20'!C57+'Tue 21'!C57+'Wed 22'!C57+'Thu 23'!C57+'Fri 24'!C57+'Sat 25'!C57+'Sun 26'!C57</f>
        <v>0</v>
      </c>
      <c r="D57" s="54">
        <f>+'Mon 20'!D57+'Tue 21'!D57+'Wed 22'!D57+'Thu 23'!D57+'Fri 24'!D57+'Sat 25'!D57+'Sun 26'!D57</f>
        <v>0</v>
      </c>
      <c r="E57" s="54">
        <f>+'Mon 20'!E57+'Tue 21'!E57+'Wed 22'!E57+'Thu 23'!E57+'Fri 24'!E57+'Sat 25'!E57+'Sun 26'!E57</f>
        <v>0</v>
      </c>
      <c r="F57" s="100">
        <f>+'Mon 20'!F57+'Tue 21'!F57+'Wed 22'!F57+'Thu 23'!F57+'Fri 24'!F57+'Sat 25'!F57+'Sun 26'!F57</f>
        <v>0</v>
      </c>
      <c r="G57" s="54"/>
      <c r="H57" s="100">
        <f>+'Mon 20'!H57+'Tue 21'!H57+'Wed 22'!H57+'Thu 23'!H57+'Fri 24'!H57+'Sat 25'!H57+'Sun 26'!H57</f>
        <v>0</v>
      </c>
      <c r="I57" s="23"/>
      <c r="J57" s="19">
        <f t="shared" si="18"/>
        <v>0</v>
      </c>
      <c r="K57" s="12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4"/>
      <c r="X57" s="4"/>
      <c r="Y57" s="4"/>
      <c r="Z57" s="4"/>
    </row>
    <row r="58" spans="1:26" ht="14.25" customHeight="1" x14ac:dyDescent="0.3">
      <c r="A58" s="11" t="s">
        <v>27</v>
      </c>
      <c r="B58" s="55">
        <f>+'Mon 20'!B58+'Tue 21'!B58+'Wed 22'!B58+'Thu 23'!B58+'Fri 24'!B58+'Sat 25'!B58+'Sun 26'!B58</f>
        <v>0</v>
      </c>
      <c r="C58" s="55">
        <f>+'Mon 20'!C58+'Tue 21'!C58+'Wed 22'!C58+'Thu 23'!C58+'Fri 24'!C58+'Sat 25'!C58+'Sun 26'!C58</f>
        <v>0</v>
      </c>
      <c r="D58" s="54">
        <f>+'Mon 20'!D58+'Tue 21'!D58+'Wed 22'!D58+'Thu 23'!D58+'Fri 24'!D58+'Sat 25'!D58+'Sun 26'!D58</f>
        <v>0</v>
      </c>
      <c r="E58" s="54">
        <f>+'Mon 20'!E58+'Tue 21'!E58+'Wed 22'!E58+'Thu 23'!E58+'Fri 24'!E58+'Sat 25'!E58+'Sun 26'!E58</f>
        <v>0</v>
      </c>
      <c r="F58" s="100">
        <f>+'Mon 20'!F58+'Tue 21'!F58+'Wed 22'!F58+'Thu 23'!F58+'Fri 24'!F58+'Sat 25'!F58+'Sun 26'!F58</f>
        <v>0</v>
      </c>
      <c r="G58" s="54"/>
      <c r="H58" s="100">
        <f>+'Mon 20'!H58+'Tue 21'!H58+'Wed 22'!H58+'Thu 23'!H58+'Fri 24'!H58+'Sat 25'!H58+'Sun 26'!H58</f>
        <v>0</v>
      </c>
      <c r="I58" s="23"/>
      <c r="J58" s="19">
        <f t="shared" si="18"/>
        <v>0</v>
      </c>
      <c r="K58" s="12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4"/>
      <c r="X58" s="4"/>
      <c r="Y58" s="4"/>
      <c r="Z58" s="4"/>
    </row>
    <row r="59" spans="1:26" ht="14.25" customHeight="1" x14ac:dyDescent="0.3">
      <c r="A59" s="11" t="s">
        <v>28</v>
      </c>
      <c r="B59" s="55">
        <f>+'Mon 20'!B59+'Tue 21'!B59+'Wed 22'!B59+'Thu 23'!B59+'Fri 24'!B59+'Sat 25'!B59+'Sun 26'!B59</f>
        <v>0</v>
      </c>
      <c r="C59" s="55">
        <f>+'Mon 20'!C59+'Tue 21'!C59+'Wed 22'!C59+'Thu 23'!C59+'Fri 24'!C59+'Sat 25'!C59+'Sun 26'!C59</f>
        <v>0</v>
      </c>
      <c r="D59" s="54">
        <f>+'Mon 20'!D59+'Tue 21'!D59+'Wed 22'!D59+'Thu 23'!D59+'Fri 24'!D59+'Sat 25'!D59+'Sun 26'!D59</f>
        <v>0</v>
      </c>
      <c r="E59" s="54">
        <f>+'Mon 20'!E59+'Tue 21'!E59+'Wed 22'!E59+'Thu 23'!E59+'Fri 24'!E59+'Sat 25'!E59+'Sun 26'!E59</f>
        <v>0</v>
      </c>
      <c r="F59" s="100">
        <f>+'Mon 20'!F59+'Tue 21'!F59+'Wed 22'!F59+'Thu 23'!F59+'Fri 24'!F59+'Sat 25'!F59+'Sun 26'!F59</f>
        <v>0</v>
      </c>
      <c r="G59" s="54"/>
      <c r="H59" s="100">
        <f>+'Mon 20'!H59+'Tue 21'!H59+'Wed 22'!H59+'Thu 23'!H59+'Fri 24'!H59+'Sat 25'!H59+'Sun 26'!H59</f>
        <v>0</v>
      </c>
      <c r="I59" s="23"/>
      <c r="J59" s="19">
        <f t="shared" si="18"/>
        <v>0</v>
      </c>
      <c r="K59" s="1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4"/>
      <c r="X59" s="4"/>
      <c r="Y59" s="4"/>
      <c r="Z59" s="4"/>
    </row>
    <row r="60" spans="1:26" ht="14.25" hidden="1" customHeight="1" x14ac:dyDescent="0.3">
      <c r="A60" s="11" t="s">
        <v>29</v>
      </c>
      <c r="B60" s="55">
        <f>+'Mon 20'!B60+'Tue 21'!B60+'Wed 22'!B60+'Thu 23'!B60+'Fri 24'!B60+'Sat 25'!B60+'Sun 26'!B60</f>
        <v>0</v>
      </c>
      <c r="C60" s="55">
        <f>+'Mon 20'!C60+'Tue 21'!C60+'Wed 22'!C60+'Thu 23'!C60+'Fri 24'!C60+'Sat 25'!C60+'Sun 26'!C60</f>
        <v>0</v>
      </c>
      <c r="D60" s="54">
        <f>+'Mon 20'!D60+'Tue 21'!D60+'Wed 22'!D60+'Thu 23'!D60+'Fri 24'!D60+'Sat 25'!D60+'Sun 26'!D60</f>
        <v>0</v>
      </c>
      <c r="E60" s="54">
        <f>+'Mon 20'!E60+'Tue 21'!E60+'Wed 22'!E60+'Thu 23'!E60+'Fri 24'!E60+'Sat 25'!E60+'Sun 26'!E60</f>
        <v>0</v>
      </c>
      <c r="F60" s="100">
        <f>+'Mon 20'!F60+'Tue 21'!F60+'Wed 22'!F60+'Thu 23'!F60+'Fri 24'!F60+'Sat 25'!F60+'Sun 26'!F60</f>
        <v>0</v>
      </c>
      <c r="G60" s="54"/>
      <c r="H60" s="100">
        <f>+'Mon 20'!H60+'Tue 21'!H60+'Wed 22'!H60+'Thu 23'!H60+'Fri 24'!H60+'Sat 25'!H60+'Sun 26'!H60</f>
        <v>0</v>
      </c>
      <c r="I60" s="23"/>
      <c r="J60" s="19">
        <f t="shared" si="18"/>
        <v>0</v>
      </c>
      <c r="K60" s="12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4"/>
      <c r="X60" s="4"/>
      <c r="Y60" s="4"/>
      <c r="Z60" s="4"/>
    </row>
    <row r="61" spans="1:26" ht="14.25" customHeight="1" x14ac:dyDescent="0.3">
      <c r="A61" s="11" t="s">
        <v>30</v>
      </c>
      <c r="B61" s="55">
        <f>+'Mon 20'!B61+'Tue 21'!B61+'Wed 22'!B61+'Thu 23'!B61+'Fri 24'!B61+'Sat 25'!B61+'Sun 26'!B61</f>
        <v>0</v>
      </c>
      <c r="C61" s="55">
        <f>+'Mon 20'!C61+'Tue 21'!C61+'Wed 22'!C61+'Thu 23'!C61+'Fri 24'!C61+'Sat 25'!C61+'Sun 26'!C61</f>
        <v>0</v>
      </c>
      <c r="D61" s="54">
        <f>+'Mon 20'!D61+'Tue 21'!D61+'Wed 22'!D61+'Thu 23'!D61+'Fri 24'!D61+'Sat 25'!D61+'Sun 26'!D61</f>
        <v>0</v>
      </c>
      <c r="E61" s="54">
        <f>+'Mon 20'!E61+'Tue 21'!E61+'Wed 22'!E61+'Thu 23'!E61+'Fri 24'!E61+'Sat 25'!E61+'Sun 26'!E61</f>
        <v>0</v>
      </c>
      <c r="F61" s="100">
        <f>+'Mon 20'!F61+'Tue 21'!F61+'Wed 22'!F61+'Thu 23'!F61+'Fri 24'!F61+'Sat 25'!F61+'Sun 26'!F61</f>
        <v>0</v>
      </c>
      <c r="G61" s="54"/>
      <c r="H61" s="100">
        <f>+'Mon 20'!H61+'Tue 21'!H61+'Wed 22'!H61+'Thu 23'!H61+'Fri 24'!H61+'Sat 25'!H61+'Sun 26'!H61</f>
        <v>0</v>
      </c>
      <c r="I61" s="23"/>
      <c r="J61" s="19">
        <f t="shared" si="18"/>
        <v>0</v>
      </c>
      <c r="K61" s="12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4"/>
      <c r="X61" s="4"/>
      <c r="Y61" s="4"/>
      <c r="Z61" s="4"/>
    </row>
    <row r="62" spans="1:26" ht="14.25" customHeight="1" x14ac:dyDescent="0.3">
      <c r="A62" s="11" t="s">
        <v>31</v>
      </c>
      <c r="B62" s="55">
        <f>+'Mon 20'!B62+'Tue 21'!B62+'Wed 22'!B62+'Thu 23'!B62+'Fri 24'!B62+'Sat 25'!B62+'Sun 26'!B62</f>
        <v>0</v>
      </c>
      <c r="C62" s="55">
        <f>+'Mon 20'!C62+'Tue 21'!C62+'Wed 22'!C62+'Thu 23'!C62+'Fri 24'!C62+'Sat 25'!C62+'Sun 26'!C62</f>
        <v>0</v>
      </c>
      <c r="D62" s="54">
        <f>+'Mon 20'!D62+'Tue 21'!D62+'Wed 22'!D62+'Thu 23'!D62+'Fri 24'!D62+'Sat 25'!D62+'Sun 26'!D62</f>
        <v>0</v>
      </c>
      <c r="E62" s="54">
        <f>+'Mon 20'!E62+'Tue 21'!E62+'Wed 22'!E62+'Thu 23'!E62+'Fri 24'!E62+'Sat 25'!E62+'Sun 26'!E62</f>
        <v>0</v>
      </c>
      <c r="F62" s="100">
        <f>+'Mon 20'!F62+'Tue 21'!F62+'Wed 22'!F62+'Thu 23'!F62+'Fri 24'!F62+'Sat 25'!F62+'Sun 26'!F62</f>
        <v>0</v>
      </c>
      <c r="G62" s="54"/>
      <c r="H62" s="100">
        <f>+'Mon 20'!H62+'Tue 21'!H62+'Wed 22'!H62+'Thu 23'!H62+'Fri 24'!H62+'Sat 25'!H62+'Sun 26'!H62</f>
        <v>0</v>
      </c>
      <c r="I62" s="23"/>
      <c r="J62" s="19">
        <f t="shared" si="18"/>
        <v>0</v>
      </c>
      <c r="K62" s="12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4"/>
      <c r="X62" s="4"/>
      <c r="Y62" s="4"/>
      <c r="Z62" s="4"/>
    </row>
    <row r="63" spans="1:26" ht="13.5" customHeight="1" x14ac:dyDescent="0.25">
      <c r="A63" s="13" t="s">
        <v>16</v>
      </c>
      <c r="B63" s="19">
        <f t="shared" ref="B63:F63" si="23">SUM(B57:B62)</f>
        <v>0</v>
      </c>
      <c r="C63" s="19">
        <f t="shared" si="23"/>
        <v>0</v>
      </c>
      <c r="D63" s="19">
        <f t="shared" si="23"/>
        <v>0</v>
      </c>
      <c r="E63" s="19">
        <f t="shared" si="23"/>
        <v>0</v>
      </c>
      <c r="F63" s="19">
        <f t="shared" si="23"/>
        <v>0</v>
      </c>
      <c r="G63" s="19"/>
      <c r="H63" s="19">
        <f>SUM(H57:H62)</f>
        <v>0</v>
      </c>
      <c r="I63" s="25"/>
      <c r="J63" s="19">
        <f t="shared" si="18"/>
        <v>0</v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4"/>
      <c r="X63" s="4"/>
      <c r="Y63" s="4"/>
      <c r="Z63" s="4"/>
    </row>
    <row r="64" spans="1:26" ht="13.5" customHeight="1" x14ac:dyDescent="0.25">
      <c r="A64" s="13" t="s">
        <v>32</v>
      </c>
      <c r="B64" s="19">
        <f t="shared" ref="B64:F64" si="24">SUM(B56,B63)</f>
        <v>0</v>
      </c>
      <c r="C64" s="19">
        <f t="shared" si="24"/>
        <v>0</v>
      </c>
      <c r="D64" s="19">
        <f t="shared" si="24"/>
        <v>0</v>
      </c>
      <c r="E64" s="19">
        <f t="shared" si="24"/>
        <v>0</v>
      </c>
      <c r="F64" s="19">
        <f t="shared" si="24"/>
        <v>0</v>
      </c>
      <c r="G64" s="19"/>
      <c r="H64" s="19">
        <f>SUM(H56,H63)</f>
        <v>0</v>
      </c>
      <c r="I64" s="25"/>
      <c r="J64" s="19">
        <f t="shared" si="18"/>
        <v>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4"/>
      <c r="X64" s="4"/>
      <c r="Y64" s="4"/>
      <c r="Z64" s="4"/>
    </row>
    <row r="65" spans="1:26" ht="14.25" customHeight="1" x14ac:dyDescent="0.3">
      <c r="A65" s="11" t="s">
        <v>33</v>
      </c>
      <c r="B65" s="55">
        <f>+'Mon 20'!B65+'Tue 21'!B65+'Wed 22'!B65+'Thu 23'!B65+'Fri 24'!B65+'Sat 25'!B65+'Sun 26'!B65</f>
        <v>0</v>
      </c>
      <c r="C65" s="55">
        <f>+'Mon 20'!C65+'Tue 21'!C65+'Wed 22'!C65+'Thu 23'!C65+'Fri 24'!C65+'Sat 25'!C65+'Sun 26'!C65</f>
        <v>0</v>
      </c>
      <c r="D65" s="55">
        <f>+'Mon 20'!D65+'Tue 21'!D65+'Wed 22'!D65+'Thu 23'!D65+'Fri 24'!D65+'Sat 25'!D65+'Sun 26'!D65</f>
        <v>0</v>
      </c>
      <c r="E65" s="55">
        <f>+'Mon 20'!E65+'Tue 21'!E65+'Wed 22'!E65+'Thu 23'!E65+'Fri 24'!E65+'Sat 25'!E65+'Sun 26'!E65</f>
        <v>0</v>
      </c>
      <c r="F65" s="55">
        <f>+'Mon 20'!F65+'Tue 21'!F65+'Wed 22'!F65+'Thu 23'!F65+'Fri 24'!F65+'Sat 25'!F65+'Sun 26'!F65</f>
        <v>0</v>
      </c>
      <c r="G65" s="15"/>
      <c r="H65" s="55">
        <f>+'Mon 20'!H65+'Tue 21'!H65+'Wed 22'!H65+'Thu 23'!H65+'Fri 24'!H65+'Sat 25'!H65+'Sun 26'!H65</f>
        <v>0</v>
      </c>
      <c r="I65" s="15"/>
      <c r="J65" s="19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4"/>
      <c r="X65" s="4"/>
      <c r="Y65" s="4"/>
      <c r="Z65" s="4"/>
    </row>
    <row r="66" spans="1:26" ht="14.25" customHeight="1" x14ac:dyDescent="0.3">
      <c r="A66" s="11" t="s">
        <v>34</v>
      </c>
      <c r="B66" s="15">
        <f t="shared" ref="B66:F66" si="25">+B64-B65</f>
        <v>0</v>
      </c>
      <c r="C66" s="15">
        <f t="shared" si="25"/>
        <v>0</v>
      </c>
      <c r="D66" s="15">
        <f t="shared" si="25"/>
        <v>0</v>
      </c>
      <c r="E66" s="15">
        <f t="shared" si="25"/>
        <v>0</v>
      </c>
      <c r="F66" s="15">
        <f t="shared" si="25"/>
        <v>0</v>
      </c>
      <c r="G66" s="15"/>
      <c r="H66" s="15">
        <f>+H64-H65</f>
        <v>0</v>
      </c>
      <c r="I66" s="15"/>
      <c r="J66" s="19">
        <f>SUM(B66:I66)+J30</f>
        <v>0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4"/>
      <c r="X66" s="4"/>
      <c r="Y66" s="4"/>
      <c r="Z66" s="4"/>
    </row>
    <row r="67" spans="1:26" ht="14.25" customHeight="1" x14ac:dyDescent="0.3">
      <c r="A67" s="11" t="s">
        <v>35</v>
      </c>
      <c r="B67" s="14"/>
      <c r="C67" s="14"/>
      <c r="D67" s="14"/>
      <c r="E67" s="29"/>
      <c r="F67" s="29"/>
      <c r="G67" s="29"/>
      <c r="H67" s="29"/>
      <c r="I67" s="31" t="s">
        <v>98</v>
      </c>
      <c r="J67" s="19">
        <f>SUM(J59:J62)</f>
        <v>0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4"/>
      <c r="X67" s="4"/>
      <c r="Y67" s="4"/>
      <c r="Z67" s="4"/>
    </row>
    <row r="68" spans="1:26" ht="14.25" customHeight="1" x14ac:dyDescent="0.3">
      <c r="A68" s="11" t="s">
        <v>35</v>
      </c>
      <c r="B68" s="14"/>
      <c r="C68" s="14"/>
      <c r="D68" s="14"/>
      <c r="E68" s="14"/>
      <c r="F68" s="14"/>
      <c r="G68" s="14"/>
      <c r="H68" s="14"/>
      <c r="I68" s="32"/>
      <c r="J68" s="19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4"/>
      <c r="X68" s="4"/>
      <c r="Y68" s="4"/>
      <c r="Z68" s="4"/>
    </row>
    <row r="69" spans="1:26" ht="13.5" customHeight="1" x14ac:dyDescent="0.25">
      <c r="A69" s="26" t="str">
        <f>A37</f>
        <v>SKIM 3</v>
      </c>
      <c r="B69" s="26"/>
      <c r="C69" s="26" t="s">
        <v>1</v>
      </c>
      <c r="D69" s="33">
        <f>+D33</f>
        <v>42792</v>
      </c>
      <c r="E69" s="26" t="s">
        <v>2</v>
      </c>
      <c r="F69" s="26"/>
      <c r="G69" s="26"/>
      <c r="H69" s="34"/>
      <c r="I69" s="34"/>
      <c r="J69" s="26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4"/>
      <c r="X69" s="4"/>
      <c r="Y69" s="4"/>
      <c r="Z69" s="4"/>
    </row>
    <row r="70" spans="1:26" ht="13.5" customHeight="1" x14ac:dyDescent="0.25">
      <c r="A70" s="27" t="s">
        <v>55</v>
      </c>
      <c r="B70" s="36" t="s">
        <v>56</v>
      </c>
      <c r="C70" s="36" t="s">
        <v>57</v>
      </c>
      <c r="D70" s="17" t="s">
        <v>58</v>
      </c>
      <c r="E70" s="37">
        <f>SUM(C71:C88)</f>
        <v>0</v>
      </c>
      <c r="F70" s="3"/>
      <c r="G70" s="3"/>
      <c r="H70" s="3"/>
      <c r="I70" s="3"/>
      <c r="J70" s="17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4"/>
      <c r="X70" s="4"/>
      <c r="Y70" s="4"/>
      <c r="Z70" s="4"/>
    </row>
    <row r="71" spans="1:26" ht="14.25" customHeight="1" x14ac:dyDescent="0.3">
      <c r="A71" s="28"/>
      <c r="B71" s="30" t="s">
        <v>99</v>
      </c>
      <c r="C71" s="54">
        <f>+'Mon 20'!C71+'Tue 21'!C71+'Wed 22'!C71+'Thu 23'!C71+'Fri 24'!C71+'Sat 25'!C71+'Sun 26'!C71</f>
        <v>0</v>
      </c>
      <c r="D71" s="3" t="s">
        <v>59</v>
      </c>
      <c r="E71" s="38">
        <f>E70-J45</f>
        <v>0</v>
      </c>
      <c r="F71" s="39" t="s">
        <v>60</v>
      </c>
      <c r="G71" s="39"/>
      <c r="H71" s="39"/>
      <c r="I71" s="39"/>
      <c r="J71" s="17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4"/>
      <c r="X71" s="4"/>
      <c r="Y71" s="4"/>
      <c r="Z71" s="4"/>
    </row>
    <row r="72" spans="1:26" ht="14.25" customHeight="1" x14ac:dyDescent="0.3">
      <c r="A72" s="28"/>
      <c r="B72" s="30" t="s">
        <v>100</v>
      </c>
      <c r="C72" s="54">
        <f>+'Mon 20'!C72+'Tue 21'!C72+'Wed 22'!C72+'Thu 23'!C72+'Fri 24'!C72+'Sat 25'!C72+'Sun 26'!C72</f>
        <v>0</v>
      </c>
      <c r="D72" s="3"/>
      <c r="E72" s="3"/>
      <c r="F72" s="40" t="s">
        <v>61</v>
      </c>
      <c r="G72" s="40" t="s">
        <v>62</v>
      </c>
      <c r="H72" s="3"/>
      <c r="I72" s="3"/>
      <c r="J72" s="17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4"/>
      <c r="X72" s="4"/>
      <c r="Y72" s="4"/>
      <c r="Z72" s="4"/>
    </row>
    <row r="73" spans="1:26" ht="14.25" customHeight="1" x14ac:dyDescent="0.3">
      <c r="A73" s="28"/>
      <c r="B73" s="30" t="s">
        <v>101</v>
      </c>
      <c r="C73" s="54">
        <f>+'Mon 20'!C73+'Tue 21'!C73+'Wed 22'!C73+'Thu 23'!C73+'Fri 24'!C73+'Sat 25'!C73+'Sun 26'!C73</f>
        <v>0</v>
      </c>
      <c r="D73" s="3" t="s">
        <v>63</v>
      </c>
      <c r="E73" s="41">
        <f>+J46</f>
        <v>0</v>
      </c>
      <c r="F73" s="101">
        <f>+'Mon 20'!F73+'Tue 21'!F73+'Wed 22'!F73+'Thu 23'!F73+'Fri 24'!F73+'Sat 25'!F73+'Sun 26'!F73</f>
        <v>0</v>
      </c>
      <c r="G73" s="42"/>
      <c r="H73" s="3"/>
      <c r="I73" s="3"/>
      <c r="J73" s="17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4"/>
      <c r="X73" s="4"/>
      <c r="Y73" s="4"/>
      <c r="Z73" s="4"/>
    </row>
    <row r="74" spans="1:26" ht="14.25" customHeight="1" x14ac:dyDescent="0.3">
      <c r="A74" s="28"/>
      <c r="B74" s="30" t="s">
        <v>102</v>
      </c>
      <c r="C74" s="54">
        <f>+'Mon 20'!C74+'Tue 21'!C74+'Wed 22'!C74+'Thu 23'!C74+'Fri 24'!C74+'Sat 25'!C74+'Sun 26'!C74</f>
        <v>0</v>
      </c>
      <c r="D74" s="3" t="s">
        <v>64</v>
      </c>
      <c r="E74" s="41">
        <f t="shared" ref="E74:E76" si="26">+J52</f>
        <v>0</v>
      </c>
      <c r="F74" s="102">
        <f>+'Mon 20'!F74+'Tue 21'!F74+'Wed 22'!F74+'Thu 23'!F74+'Fri 24'!F74+'Sat 25'!F74+'Sun 26'!F74</f>
        <v>0</v>
      </c>
      <c r="G74" s="43"/>
      <c r="H74" s="3"/>
      <c r="I74" s="3"/>
      <c r="J74" s="17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4"/>
      <c r="X74" s="4"/>
      <c r="Y74" s="4"/>
      <c r="Z74" s="4"/>
    </row>
    <row r="75" spans="1:26" ht="14.25" customHeight="1" x14ac:dyDescent="0.3">
      <c r="A75" s="28"/>
      <c r="B75" s="30" t="s">
        <v>103</v>
      </c>
      <c r="C75" s="54">
        <f>+'Mon 20'!C75+'Tue 21'!C75+'Wed 22'!C75+'Thu 23'!C75+'Fri 24'!C75+'Sat 25'!C75+'Sun 26'!C75</f>
        <v>0</v>
      </c>
      <c r="D75" s="3" t="s">
        <v>65</v>
      </c>
      <c r="E75" s="41">
        <f t="shared" si="26"/>
        <v>0</v>
      </c>
      <c r="F75" s="102">
        <f>+'Mon 20'!F75+'Tue 21'!F75+'Wed 22'!F75+'Thu 23'!F75+'Fri 24'!F75+'Sat 25'!F75+'Sun 26'!F75</f>
        <v>0</v>
      </c>
      <c r="G75" s="43"/>
      <c r="H75" s="3"/>
      <c r="I75" s="3"/>
      <c r="J75" s="17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4"/>
      <c r="X75" s="4"/>
      <c r="Y75" s="4"/>
      <c r="Z75" s="4"/>
    </row>
    <row r="76" spans="1:26" ht="14.25" customHeight="1" x14ac:dyDescent="0.3">
      <c r="A76" s="28"/>
      <c r="B76" s="30" t="s">
        <v>104</v>
      </c>
      <c r="C76" s="54">
        <f>+'Mon 20'!C76+'Tue 21'!C76+'Wed 22'!C76+'Thu 23'!C76+'Fri 24'!C76+'Sat 25'!C76+'Sun 26'!C76</f>
        <v>0</v>
      </c>
      <c r="D76" s="3" t="s">
        <v>66</v>
      </c>
      <c r="E76" s="41">
        <f t="shared" si="26"/>
        <v>0</v>
      </c>
      <c r="F76" s="102">
        <f>+'Mon 20'!F76+'Tue 21'!F76+'Wed 22'!F76+'Thu 23'!F76+'Fri 24'!F76+'Sat 25'!F76+'Sun 26'!F76</f>
        <v>0</v>
      </c>
      <c r="G76" s="43"/>
      <c r="H76" s="3"/>
      <c r="I76" s="3"/>
      <c r="J76" s="17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4"/>
      <c r="X76" s="4"/>
      <c r="Y76" s="4"/>
      <c r="Z76" s="4"/>
    </row>
    <row r="77" spans="1:26" ht="14.25" customHeight="1" x14ac:dyDescent="0.3">
      <c r="A77" s="28"/>
      <c r="B77" s="30" t="s">
        <v>105</v>
      </c>
      <c r="C77" s="54">
        <f>+'Mon 20'!C77+'Tue 21'!C77+'Wed 22'!C77+'Thu 23'!C77+'Fri 24'!C77+'Sat 25'!C77+'Sun 26'!C77</f>
        <v>0</v>
      </c>
      <c r="D77" s="3" t="s">
        <v>67</v>
      </c>
      <c r="E77" s="41">
        <f>+J63</f>
        <v>0</v>
      </c>
      <c r="F77" s="102">
        <f>+'Mon 20'!F77+'Tue 21'!F77+'Wed 22'!F77+'Thu 23'!F77+'Fri 24'!F77+'Sat 25'!F77+'Sun 26'!F77</f>
        <v>0</v>
      </c>
      <c r="G77" s="43"/>
      <c r="H77" s="3"/>
      <c r="I77" s="3"/>
      <c r="J77" s="1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4"/>
      <c r="X77" s="4"/>
      <c r="Y77" s="4"/>
      <c r="Z77" s="4"/>
    </row>
    <row r="78" spans="1:26" ht="14.25" customHeight="1" x14ac:dyDescent="0.3">
      <c r="A78" s="28"/>
      <c r="B78" s="30" t="s">
        <v>106</v>
      </c>
      <c r="C78" s="54">
        <f>+'Mon 20'!C78+'Tue 21'!C78+'Wed 22'!C78+'Thu 23'!C78+'Fri 24'!C78+'Sat 25'!C78+'Sun 26'!C78</f>
        <v>0</v>
      </c>
      <c r="D78" s="17" t="s">
        <v>9</v>
      </c>
      <c r="E78" s="37">
        <f>SUM(E70,E73,E74,E75,E76,E77)</f>
        <v>0</v>
      </c>
      <c r="F78" s="102">
        <f>+'Mon 20'!F78+'Tue 21'!F78+'Wed 22'!F78+'Thu 23'!F78+'Fri 24'!F78+'Sat 25'!F78+'Sun 26'!F78</f>
        <v>0</v>
      </c>
      <c r="G78" s="43"/>
      <c r="H78" s="3"/>
      <c r="I78" s="3"/>
      <c r="J78" s="17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4"/>
      <c r="X78" s="4"/>
      <c r="Y78" s="4"/>
      <c r="Z78" s="4"/>
    </row>
    <row r="79" spans="1:26" ht="14.25" customHeight="1" x14ac:dyDescent="0.3">
      <c r="A79" s="28"/>
      <c r="B79" s="30" t="s">
        <v>107</v>
      </c>
      <c r="C79" s="54">
        <f>+'Mon 20'!C79+'Tue 21'!C79+'Wed 22'!C79+'Thu 23'!C79+'Fri 24'!C79+'Sat 25'!C79+'Sun 26'!C79</f>
        <v>0</v>
      </c>
      <c r="D79" s="3"/>
      <c r="E79" s="3"/>
      <c r="F79" s="102">
        <f>+'Mon 20'!F79+'Tue 21'!F79+'Wed 22'!F79+'Thu 23'!F79+'Fri 24'!F79+'Sat 25'!F79+'Sun 26'!F79</f>
        <v>0</v>
      </c>
      <c r="G79" s="43"/>
      <c r="H79" s="3"/>
      <c r="I79" s="3"/>
      <c r="J79" s="17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4"/>
      <c r="X79" s="4"/>
      <c r="Y79" s="4"/>
      <c r="Z79" s="4"/>
    </row>
    <row r="80" spans="1:26" ht="14.25" customHeight="1" x14ac:dyDescent="0.3">
      <c r="A80" s="28"/>
      <c r="B80" s="30" t="s">
        <v>108</v>
      </c>
      <c r="C80" s="54">
        <f>+'Mon 20'!C80+'Tue 21'!C80+'Wed 22'!C80+'Thu 23'!C80+'Fri 24'!C80+'Sat 25'!C80+'Sun 26'!C80</f>
        <v>0</v>
      </c>
      <c r="D80" s="3"/>
      <c r="E80" s="3"/>
      <c r="F80" s="102">
        <f>F73+F74+F75+F76+F77+F78+F79</f>
        <v>0</v>
      </c>
      <c r="G80" s="43" t="s">
        <v>109</v>
      </c>
      <c r="H80" s="3"/>
      <c r="I80" s="3"/>
      <c r="J80" s="17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4"/>
      <c r="X80" s="4"/>
      <c r="Y80" s="4"/>
      <c r="Z80" s="4"/>
    </row>
    <row r="81" spans="1:26" ht="14.25" customHeight="1" x14ac:dyDescent="0.3">
      <c r="A81" s="28"/>
      <c r="B81" s="30" t="s">
        <v>110</v>
      </c>
      <c r="C81" s="54">
        <f>+'Mon 20'!C81+'Tue 21'!C81+'Wed 22'!C81+'Thu 23'!C81+'Fri 24'!C81+'Sat 25'!C81+'Sun 26'!C81</f>
        <v>0</v>
      </c>
      <c r="D81" s="3"/>
      <c r="E81" s="3"/>
      <c r="F81" s="102">
        <f>E73+F80</f>
        <v>0</v>
      </c>
      <c r="G81" s="43" t="s">
        <v>111</v>
      </c>
      <c r="H81" s="3"/>
      <c r="I81" s="3"/>
      <c r="J81" s="17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4"/>
      <c r="X81" s="4"/>
      <c r="Y81" s="4"/>
      <c r="Z81" s="4"/>
    </row>
    <row r="82" spans="1:26" ht="14.25" customHeight="1" x14ac:dyDescent="0.3">
      <c r="A82" s="28"/>
      <c r="B82" s="30" t="s">
        <v>112</v>
      </c>
      <c r="C82" s="54">
        <f>+'Mon 20'!C82+'Tue 21'!C82+'Wed 22'!C82+'Thu 23'!C82+'Fri 24'!C82+'Sat 25'!C82+'Sun 26'!C82</f>
        <v>0</v>
      </c>
      <c r="D82" s="3"/>
      <c r="E82" s="3"/>
      <c r="F82" s="102">
        <f>H65</f>
        <v>0</v>
      </c>
      <c r="G82" s="43" t="s">
        <v>113</v>
      </c>
      <c r="H82" s="3"/>
      <c r="I82" s="3"/>
      <c r="J82" s="17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4"/>
      <c r="X82" s="4"/>
      <c r="Y82" s="4"/>
      <c r="Z82" s="4"/>
    </row>
    <row r="83" spans="1:26" ht="14.25" customHeight="1" x14ac:dyDescent="0.3">
      <c r="A83" s="28"/>
      <c r="B83" s="30" t="s">
        <v>114</v>
      </c>
      <c r="C83" s="54">
        <f>+'Mon 20'!C83+'Tue 21'!C83+'Wed 22'!C83+'Thu 23'!C83+'Fri 24'!C83+'Sat 25'!C83+'Sun 26'!C83</f>
        <v>0</v>
      </c>
      <c r="D83" s="3"/>
      <c r="E83" s="3"/>
      <c r="F83" s="103">
        <f>F80+F81+F82</f>
        <v>0</v>
      </c>
      <c r="G83" s="44" t="s">
        <v>115</v>
      </c>
      <c r="H83" s="3"/>
      <c r="I83" s="3"/>
      <c r="J83" s="17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4"/>
      <c r="X83" s="4"/>
      <c r="Y83" s="4"/>
      <c r="Z83" s="4"/>
    </row>
    <row r="84" spans="1:26" ht="14.25" customHeight="1" x14ac:dyDescent="0.3">
      <c r="A84" s="28"/>
      <c r="B84" s="30" t="s">
        <v>116</v>
      </c>
      <c r="C84" s="54">
        <f>+'Mon 20'!C84+'Tue 21'!C84+'Wed 22'!C84+'Thu 23'!C84+'Fri 24'!C84+'Sat 25'!C84+'Sun 26'!C84</f>
        <v>0</v>
      </c>
      <c r="D84" s="3"/>
      <c r="E84" s="3"/>
      <c r="F84" s="3"/>
      <c r="G84" s="3"/>
      <c r="H84" s="3"/>
      <c r="I84" s="3"/>
      <c r="J84" s="17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4"/>
      <c r="X84" s="4"/>
      <c r="Y84" s="4"/>
      <c r="Z84" s="4"/>
    </row>
    <row r="85" spans="1:26" ht="14.25" customHeight="1" x14ac:dyDescent="0.3">
      <c r="A85" s="28"/>
      <c r="B85" s="30" t="s">
        <v>117</v>
      </c>
      <c r="C85" s="54">
        <f>+'Mon 20'!C85+'Tue 21'!C85+'Wed 22'!C85+'Thu 23'!C85+'Fri 24'!C85+'Sat 25'!C85+'Sun 26'!C85</f>
        <v>0</v>
      </c>
      <c r="D85" s="3"/>
      <c r="E85" s="3"/>
      <c r="F85" s="3"/>
      <c r="G85" s="3"/>
      <c r="H85" s="3"/>
      <c r="I85" s="3"/>
      <c r="J85" s="17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4"/>
      <c r="X85" s="4"/>
      <c r="Y85" s="4"/>
      <c r="Z85" s="4"/>
    </row>
    <row r="86" spans="1:26" ht="14.25" customHeight="1" x14ac:dyDescent="0.3">
      <c r="A86" s="28"/>
      <c r="B86" s="30" t="s">
        <v>118</v>
      </c>
      <c r="C86" s="54">
        <f>+'Mon 20'!C86+'Tue 21'!C86+'Wed 22'!C86+'Thu 23'!C86+'Fri 24'!C86+'Sat 25'!C86+'Sun 26'!C86</f>
        <v>0</v>
      </c>
      <c r="D86" s="3"/>
      <c r="E86" s="3"/>
      <c r="F86" s="3"/>
      <c r="G86" s="3"/>
      <c r="H86" s="3"/>
      <c r="I86" s="3"/>
      <c r="J86" s="17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4"/>
      <c r="X86" s="4"/>
      <c r="Y86" s="4"/>
      <c r="Z86" s="4"/>
    </row>
    <row r="87" spans="1:26" ht="14.25" customHeight="1" x14ac:dyDescent="0.3">
      <c r="A87" s="28"/>
      <c r="B87" s="30" t="s">
        <v>119</v>
      </c>
      <c r="C87" s="54">
        <f>+'Mon 20'!C87+'Tue 21'!C87+'Wed 22'!C87+'Thu 23'!C87+'Fri 24'!C87+'Sat 25'!C87+'Sun 26'!C87</f>
        <v>0</v>
      </c>
      <c r="D87" s="3"/>
      <c r="E87" s="3"/>
      <c r="F87" s="3"/>
      <c r="G87" s="3"/>
      <c r="H87" s="3"/>
      <c r="I87" s="3"/>
      <c r="J87" s="1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4"/>
      <c r="X87" s="4"/>
      <c r="Y87" s="4"/>
      <c r="Z87" s="4"/>
    </row>
    <row r="88" spans="1:26" ht="14.25" customHeight="1" x14ac:dyDescent="0.3">
      <c r="A88" s="28"/>
      <c r="B88" s="30" t="s">
        <v>120</v>
      </c>
      <c r="C88" s="54">
        <f>+'Mon 20'!C88+'Tue 21'!C88+'Wed 22'!C88+'Thu 23'!C88+'Fri 24'!C88+'Sat 25'!C88+'Sun 26'!C88</f>
        <v>0</v>
      </c>
      <c r="D88" s="3"/>
      <c r="E88" s="3"/>
      <c r="F88" s="3"/>
      <c r="G88" s="3"/>
      <c r="H88" s="3"/>
      <c r="I88" s="3"/>
      <c r="J88" s="17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4"/>
      <c r="X88" s="4"/>
      <c r="Y88" s="4"/>
      <c r="Z88" s="4"/>
    </row>
    <row r="89" spans="1:26" ht="14.25" customHeight="1" x14ac:dyDescent="0.3">
      <c r="A89" s="28"/>
      <c r="B89" s="3"/>
      <c r="C89" s="3"/>
      <c r="D89" s="3"/>
      <c r="E89" s="3"/>
      <c r="F89" s="3"/>
      <c r="G89" s="3"/>
      <c r="H89" s="3"/>
      <c r="I89" s="3"/>
      <c r="J89" s="17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4"/>
      <c r="X89" s="4"/>
      <c r="Y89" s="4"/>
      <c r="Z89" s="4"/>
    </row>
    <row r="90" spans="1:26" ht="14.25" customHeight="1" x14ac:dyDescent="0.3">
      <c r="A90" s="35"/>
      <c r="B90" s="4"/>
      <c r="C90" s="4"/>
      <c r="D90" s="4"/>
      <c r="E90" s="4"/>
      <c r="F90" s="4"/>
      <c r="G90" s="4"/>
      <c r="H90" s="4"/>
      <c r="I90" s="4"/>
      <c r="J90" s="18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4"/>
      <c r="X90" s="4"/>
      <c r="Y90" s="4"/>
      <c r="Z90" s="4"/>
    </row>
    <row r="91" spans="1:26" ht="14.25" customHeight="1" x14ac:dyDescent="0.3">
      <c r="A91" s="35"/>
      <c r="B91" s="4"/>
      <c r="C91" s="4"/>
      <c r="D91" s="4"/>
      <c r="E91" s="4"/>
      <c r="F91" s="4"/>
      <c r="G91" s="4"/>
      <c r="H91" s="4"/>
      <c r="I91" s="4"/>
      <c r="J91" s="18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4"/>
      <c r="X91" s="4"/>
      <c r="Y91" s="4"/>
      <c r="Z91" s="4"/>
    </row>
    <row r="92" spans="1:26" ht="14.25" customHeight="1" x14ac:dyDescent="0.3">
      <c r="A92" s="35"/>
      <c r="B92" s="4"/>
      <c r="C92" s="4"/>
      <c r="D92" s="4"/>
      <c r="E92" s="4"/>
      <c r="F92" s="4"/>
      <c r="G92" s="4"/>
      <c r="H92" s="4"/>
      <c r="I92" s="4"/>
      <c r="J92" s="18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4"/>
      <c r="X92" s="4"/>
      <c r="Y92" s="4"/>
      <c r="Z92" s="4"/>
    </row>
    <row r="93" spans="1:26" ht="14.25" customHeight="1" x14ac:dyDescent="0.3">
      <c r="A93" s="35"/>
      <c r="B93" s="4"/>
      <c r="C93" s="4"/>
      <c r="D93" s="4"/>
      <c r="E93" s="4"/>
      <c r="F93" s="4"/>
      <c r="G93" s="4"/>
      <c r="H93" s="4"/>
      <c r="I93" s="4"/>
      <c r="J93" s="18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4"/>
      <c r="X93" s="4"/>
      <c r="Y93" s="4"/>
      <c r="Z93" s="4"/>
    </row>
    <row r="94" spans="1:26" ht="14.25" customHeight="1" x14ac:dyDescent="0.3">
      <c r="A94" s="35"/>
      <c r="B94" s="4"/>
      <c r="C94" s="4"/>
      <c r="D94" s="4"/>
      <c r="E94" s="4"/>
      <c r="F94" s="4"/>
      <c r="G94" s="4"/>
      <c r="H94" s="4"/>
      <c r="I94" s="4"/>
      <c r="J94" s="18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4"/>
      <c r="X94" s="4"/>
      <c r="Y94" s="4"/>
      <c r="Z94" s="4"/>
    </row>
    <row r="95" spans="1:26" ht="14.25" customHeight="1" x14ac:dyDescent="0.3">
      <c r="A95" s="35"/>
      <c r="B95" s="4"/>
      <c r="C95" s="4"/>
      <c r="D95" s="4"/>
      <c r="E95" s="4"/>
      <c r="F95" s="4"/>
      <c r="G95" s="4"/>
      <c r="H95" s="4"/>
      <c r="I95" s="4"/>
      <c r="J95" s="18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4"/>
      <c r="X95" s="4"/>
      <c r="Y95" s="4"/>
      <c r="Z95" s="4"/>
    </row>
    <row r="96" spans="1:26" ht="14.25" customHeight="1" x14ac:dyDescent="0.3">
      <c r="A96" s="35"/>
      <c r="B96" s="4"/>
      <c r="C96" s="4"/>
      <c r="D96" s="4"/>
      <c r="E96" s="4"/>
      <c r="F96" s="4"/>
      <c r="G96" s="4"/>
      <c r="H96" s="4"/>
      <c r="I96" s="4"/>
      <c r="J96" s="18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4"/>
      <c r="X96" s="4"/>
      <c r="Y96" s="4"/>
      <c r="Z96" s="4"/>
    </row>
    <row r="97" spans="1:26" ht="14.25" customHeight="1" x14ac:dyDescent="0.3">
      <c r="A97" s="35"/>
      <c r="B97" s="4"/>
      <c r="C97" s="4"/>
      <c r="D97" s="4"/>
      <c r="E97" s="4"/>
      <c r="F97" s="4"/>
      <c r="G97" s="4"/>
      <c r="H97" s="4"/>
      <c r="I97" s="4"/>
      <c r="J97" s="18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4"/>
      <c r="X97" s="4"/>
      <c r="Y97" s="4"/>
      <c r="Z97" s="4"/>
    </row>
    <row r="98" spans="1:26" ht="14.25" customHeight="1" x14ac:dyDescent="0.3">
      <c r="A98" s="35"/>
      <c r="B98" s="4"/>
      <c r="C98" s="4"/>
      <c r="D98" s="4"/>
      <c r="E98" s="4"/>
      <c r="F98" s="4"/>
      <c r="G98" s="4"/>
      <c r="H98" s="4"/>
      <c r="I98" s="4"/>
      <c r="J98" s="1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4"/>
      <c r="X98" s="4"/>
      <c r="Y98" s="4"/>
      <c r="Z98" s="4"/>
    </row>
    <row r="99" spans="1:26" ht="14.25" customHeight="1" x14ac:dyDescent="0.3">
      <c r="A99" s="35"/>
      <c r="B99" s="4"/>
      <c r="C99" s="4"/>
      <c r="D99" s="4"/>
      <c r="E99" s="4"/>
      <c r="F99" s="4"/>
      <c r="G99" s="4"/>
      <c r="H99" s="4"/>
      <c r="I99" s="4"/>
      <c r="J99" s="18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4"/>
      <c r="X99" s="4"/>
      <c r="Y99" s="4"/>
      <c r="Z99" s="4"/>
    </row>
    <row r="100" spans="1:26" ht="14.25" customHeight="1" x14ac:dyDescent="0.3">
      <c r="A100" s="35"/>
      <c r="B100" s="4"/>
      <c r="C100" s="4"/>
      <c r="D100" s="4"/>
      <c r="E100" s="4"/>
      <c r="F100" s="4"/>
      <c r="G100" s="4"/>
      <c r="H100" s="4"/>
      <c r="I100" s="4"/>
      <c r="J100" s="18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4"/>
      <c r="X100" s="4"/>
      <c r="Y100" s="4"/>
      <c r="Z100" s="4"/>
    </row>
    <row r="101" spans="1:26" ht="14.25" customHeight="1" x14ac:dyDescent="0.3">
      <c r="A101" s="35"/>
      <c r="B101" s="4"/>
      <c r="C101" s="4"/>
      <c r="D101" s="4"/>
      <c r="E101" s="4"/>
      <c r="F101" s="4"/>
      <c r="G101" s="4"/>
      <c r="H101" s="4"/>
      <c r="I101" s="4"/>
      <c r="J101" s="18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4"/>
      <c r="X101" s="4"/>
      <c r="Y101" s="4"/>
      <c r="Z101" s="4"/>
    </row>
    <row r="102" spans="1:26" ht="14.25" customHeight="1" x14ac:dyDescent="0.3">
      <c r="A102" s="35"/>
      <c r="B102" s="4"/>
      <c r="C102" s="4"/>
      <c r="D102" s="4"/>
      <c r="E102" s="4"/>
      <c r="F102" s="4"/>
      <c r="G102" s="4"/>
      <c r="H102" s="4"/>
      <c r="I102" s="4"/>
      <c r="J102" s="18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4"/>
      <c r="X102" s="4"/>
      <c r="Y102" s="4"/>
      <c r="Z102" s="4"/>
    </row>
    <row r="103" spans="1:26" ht="14.25" customHeight="1" x14ac:dyDescent="0.3">
      <c r="A103" s="35"/>
      <c r="B103" s="4"/>
      <c r="C103" s="4"/>
      <c r="D103" s="4"/>
      <c r="E103" s="4"/>
      <c r="F103" s="4"/>
      <c r="G103" s="4"/>
      <c r="H103" s="4"/>
      <c r="I103" s="4"/>
      <c r="J103" s="18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4"/>
      <c r="X103" s="4"/>
      <c r="Y103" s="4"/>
      <c r="Z103" s="4"/>
    </row>
    <row r="104" spans="1:26" ht="14.25" customHeight="1" x14ac:dyDescent="0.3">
      <c r="A104" s="35"/>
      <c r="B104" s="4"/>
      <c r="C104" s="4"/>
      <c r="D104" s="4"/>
      <c r="E104" s="4"/>
      <c r="F104" s="4"/>
      <c r="G104" s="4"/>
      <c r="H104" s="4"/>
      <c r="I104" s="4"/>
      <c r="J104" s="18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4"/>
      <c r="X104" s="4"/>
      <c r="Y104" s="4"/>
      <c r="Z104" s="4"/>
    </row>
    <row r="105" spans="1:26" ht="14.25" customHeight="1" x14ac:dyDescent="0.3">
      <c r="A105" s="35"/>
      <c r="B105" s="4"/>
      <c r="C105" s="4"/>
      <c r="D105" s="4"/>
      <c r="E105" s="4"/>
      <c r="F105" s="4"/>
      <c r="G105" s="4"/>
      <c r="H105" s="4"/>
      <c r="I105" s="4"/>
      <c r="J105" s="18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4"/>
      <c r="X105" s="4"/>
      <c r="Y105" s="4"/>
      <c r="Z105" s="4"/>
    </row>
    <row r="106" spans="1:26" ht="14.25" customHeight="1" x14ac:dyDescent="0.3">
      <c r="A106" s="35"/>
      <c r="B106" s="4"/>
      <c r="C106" s="4"/>
      <c r="D106" s="4"/>
      <c r="E106" s="4"/>
      <c r="F106" s="4"/>
      <c r="G106" s="4"/>
      <c r="H106" s="4"/>
      <c r="I106" s="4"/>
      <c r="J106" s="18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4"/>
      <c r="X106" s="4"/>
      <c r="Y106" s="4"/>
      <c r="Z106" s="4"/>
    </row>
    <row r="107" spans="1:26" ht="14.25" customHeight="1" x14ac:dyDescent="0.3">
      <c r="A107" s="35"/>
      <c r="B107" s="4"/>
      <c r="C107" s="4"/>
      <c r="D107" s="4"/>
      <c r="E107" s="4"/>
      <c r="F107" s="4"/>
      <c r="G107" s="4"/>
      <c r="H107" s="4"/>
      <c r="I107" s="4"/>
      <c r="J107" s="18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4"/>
      <c r="X107" s="4"/>
      <c r="Y107" s="4"/>
      <c r="Z107" s="4"/>
    </row>
    <row r="108" spans="1:26" ht="14.25" customHeight="1" x14ac:dyDescent="0.3">
      <c r="A108" s="35"/>
      <c r="B108" s="4"/>
      <c r="C108" s="4"/>
      <c r="D108" s="4"/>
      <c r="E108" s="4"/>
      <c r="F108" s="4"/>
      <c r="G108" s="4"/>
      <c r="H108" s="4"/>
      <c r="I108" s="4"/>
      <c r="J108" s="1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4"/>
      <c r="X108" s="4"/>
      <c r="Y108" s="4"/>
      <c r="Z108" s="4"/>
    </row>
    <row r="109" spans="1:26" ht="14.25" customHeight="1" x14ac:dyDescent="0.3">
      <c r="A109" s="35"/>
      <c r="B109" s="4"/>
      <c r="C109" s="4"/>
      <c r="D109" s="4"/>
      <c r="E109" s="4"/>
      <c r="F109" s="4"/>
      <c r="G109" s="4"/>
      <c r="H109" s="4"/>
      <c r="I109" s="4"/>
      <c r="J109" s="18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4"/>
      <c r="X109" s="4"/>
      <c r="Y109" s="4"/>
      <c r="Z109" s="4"/>
    </row>
    <row r="110" spans="1:26" ht="14.25" customHeight="1" x14ac:dyDescent="0.3">
      <c r="A110" s="35"/>
      <c r="B110" s="4"/>
      <c r="C110" s="4"/>
      <c r="D110" s="4"/>
      <c r="E110" s="4"/>
      <c r="F110" s="4"/>
      <c r="G110" s="4"/>
      <c r="H110" s="4"/>
      <c r="I110" s="4"/>
      <c r="J110" s="18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4"/>
      <c r="X110" s="4"/>
      <c r="Y110" s="4"/>
      <c r="Z110" s="4"/>
    </row>
    <row r="111" spans="1:26" ht="14.25" customHeight="1" x14ac:dyDescent="0.3">
      <c r="A111" s="35"/>
      <c r="B111" s="4"/>
      <c r="C111" s="4"/>
      <c r="D111" s="4"/>
      <c r="E111" s="4"/>
      <c r="F111" s="4"/>
      <c r="G111" s="4"/>
      <c r="H111" s="4"/>
      <c r="I111" s="4"/>
      <c r="J111" s="18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4"/>
      <c r="X111" s="4"/>
      <c r="Y111" s="4"/>
      <c r="Z111" s="4"/>
    </row>
    <row r="112" spans="1:26" ht="14.25" customHeight="1" x14ac:dyDescent="0.3">
      <c r="A112" s="35"/>
      <c r="B112" s="4"/>
      <c r="C112" s="4"/>
      <c r="D112" s="4"/>
      <c r="E112" s="4"/>
      <c r="F112" s="4"/>
      <c r="G112" s="4"/>
      <c r="H112" s="4"/>
      <c r="I112" s="4"/>
      <c r="J112" s="18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4"/>
      <c r="X112" s="4"/>
      <c r="Y112" s="4"/>
      <c r="Z112" s="4"/>
    </row>
    <row r="113" spans="1:26" ht="14.25" customHeight="1" x14ac:dyDescent="0.3">
      <c r="A113" s="35"/>
      <c r="B113" s="4"/>
      <c r="C113" s="4"/>
      <c r="D113" s="4"/>
      <c r="E113" s="4"/>
      <c r="F113" s="4"/>
      <c r="G113" s="4"/>
      <c r="H113" s="4"/>
      <c r="I113" s="4"/>
      <c r="J113" s="18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4"/>
      <c r="X113" s="4"/>
      <c r="Y113" s="4"/>
      <c r="Z113" s="4"/>
    </row>
    <row r="114" spans="1:26" ht="14.25" customHeight="1" x14ac:dyDescent="0.3">
      <c r="A114" s="35"/>
      <c r="B114" s="4"/>
      <c r="C114" s="4"/>
      <c r="D114" s="4"/>
      <c r="E114" s="4"/>
      <c r="F114" s="4"/>
      <c r="G114" s="4"/>
      <c r="H114" s="4"/>
      <c r="I114" s="4"/>
      <c r="J114" s="18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4"/>
      <c r="X114" s="4"/>
      <c r="Y114" s="4"/>
      <c r="Z114" s="4"/>
    </row>
    <row r="115" spans="1:26" ht="14.25" customHeight="1" x14ac:dyDescent="0.3">
      <c r="A115" s="35"/>
      <c r="B115" s="4"/>
      <c r="C115" s="4"/>
      <c r="D115" s="4"/>
      <c r="E115" s="4"/>
      <c r="F115" s="4"/>
      <c r="G115" s="4"/>
      <c r="H115" s="4"/>
      <c r="I115" s="4"/>
      <c r="J115" s="18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4"/>
      <c r="X115" s="4"/>
      <c r="Y115" s="4"/>
      <c r="Z115" s="4"/>
    </row>
    <row r="116" spans="1:26" ht="14.25" customHeight="1" x14ac:dyDescent="0.3">
      <c r="A116" s="35"/>
      <c r="B116" s="4"/>
      <c r="C116" s="4"/>
      <c r="D116" s="4"/>
      <c r="E116" s="4"/>
      <c r="F116" s="4"/>
      <c r="G116" s="4"/>
      <c r="H116" s="4"/>
      <c r="I116" s="4"/>
      <c r="J116" s="18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4"/>
      <c r="X116" s="4"/>
      <c r="Y116" s="4"/>
      <c r="Z116" s="4"/>
    </row>
    <row r="117" spans="1:26" ht="14.25" customHeight="1" x14ac:dyDescent="0.3">
      <c r="A117" s="35"/>
      <c r="B117" s="4"/>
      <c r="C117" s="4"/>
      <c r="D117" s="4"/>
      <c r="E117" s="4"/>
      <c r="F117" s="4"/>
      <c r="G117" s="4"/>
      <c r="H117" s="4"/>
      <c r="I117" s="4"/>
      <c r="J117" s="18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4"/>
      <c r="X117" s="4"/>
      <c r="Y117" s="4"/>
      <c r="Z117" s="4"/>
    </row>
    <row r="118" spans="1:26" ht="14.25" customHeight="1" x14ac:dyDescent="0.3">
      <c r="A118" s="35"/>
      <c r="B118" s="4"/>
      <c r="C118" s="4"/>
      <c r="D118" s="4"/>
      <c r="E118" s="4"/>
      <c r="F118" s="4"/>
      <c r="G118" s="4"/>
      <c r="H118" s="4"/>
      <c r="I118" s="4"/>
      <c r="J118" s="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4"/>
      <c r="X118" s="4"/>
      <c r="Y118" s="4"/>
      <c r="Z118" s="4"/>
    </row>
    <row r="119" spans="1:26" ht="14.25" customHeight="1" x14ac:dyDescent="0.3">
      <c r="A119" s="35"/>
      <c r="B119" s="4"/>
      <c r="C119" s="4"/>
      <c r="D119" s="4"/>
      <c r="E119" s="4"/>
      <c r="F119" s="4"/>
      <c r="G119" s="4"/>
      <c r="H119" s="4"/>
      <c r="I119" s="4"/>
      <c r="J119" s="18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4"/>
      <c r="X119" s="4"/>
      <c r="Y119" s="4"/>
      <c r="Z119" s="4"/>
    </row>
    <row r="120" spans="1:26" ht="14.25" customHeight="1" x14ac:dyDescent="0.3">
      <c r="A120" s="35"/>
      <c r="B120" s="4"/>
      <c r="C120" s="4"/>
      <c r="D120" s="4"/>
      <c r="E120" s="4"/>
      <c r="F120" s="4"/>
      <c r="G120" s="4"/>
      <c r="H120" s="4"/>
      <c r="I120" s="4"/>
      <c r="J120" s="18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4"/>
      <c r="X120" s="4"/>
      <c r="Y120" s="4"/>
      <c r="Z120" s="4"/>
    </row>
    <row r="121" spans="1:26" ht="14.25" customHeight="1" x14ac:dyDescent="0.3">
      <c r="A121" s="35"/>
      <c r="B121" s="4"/>
      <c r="C121" s="4"/>
      <c r="D121" s="4"/>
      <c r="E121" s="4"/>
      <c r="F121" s="4"/>
      <c r="G121" s="4"/>
      <c r="H121" s="4"/>
      <c r="I121" s="4"/>
      <c r="J121" s="18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4"/>
      <c r="X121" s="4"/>
      <c r="Y121" s="4"/>
      <c r="Z121" s="4"/>
    </row>
    <row r="122" spans="1:26" ht="14.25" customHeight="1" x14ac:dyDescent="0.3">
      <c r="A122" s="35"/>
      <c r="B122" s="4"/>
      <c r="C122" s="4"/>
      <c r="D122" s="4"/>
      <c r="E122" s="4"/>
      <c r="F122" s="4"/>
      <c r="G122" s="4"/>
      <c r="H122" s="4"/>
      <c r="I122" s="4"/>
      <c r="J122" s="18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4"/>
      <c r="X122" s="4"/>
      <c r="Y122" s="4"/>
      <c r="Z122" s="4"/>
    </row>
    <row r="123" spans="1:26" ht="14.25" customHeight="1" x14ac:dyDescent="0.3">
      <c r="A123" s="35"/>
      <c r="B123" s="4"/>
      <c r="C123" s="4"/>
      <c r="D123" s="4"/>
      <c r="E123" s="4"/>
      <c r="F123" s="4"/>
      <c r="G123" s="4"/>
      <c r="H123" s="4"/>
      <c r="I123" s="4"/>
      <c r="J123" s="18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4"/>
      <c r="X123" s="4"/>
      <c r="Y123" s="4"/>
      <c r="Z123" s="4"/>
    </row>
    <row r="124" spans="1:26" ht="14.25" customHeight="1" x14ac:dyDescent="0.3">
      <c r="A124" s="35"/>
      <c r="B124" s="4"/>
      <c r="C124" s="4"/>
      <c r="D124" s="4"/>
      <c r="E124" s="4"/>
      <c r="F124" s="4"/>
      <c r="G124" s="4"/>
      <c r="H124" s="4"/>
      <c r="I124" s="4"/>
      <c r="J124" s="18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4"/>
      <c r="X124" s="4"/>
      <c r="Y124" s="4"/>
      <c r="Z124" s="4"/>
    </row>
    <row r="125" spans="1:26" ht="14.25" customHeight="1" x14ac:dyDescent="0.3">
      <c r="A125" s="35"/>
      <c r="B125" s="4"/>
      <c r="C125" s="4"/>
      <c r="D125" s="4"/>
      <c r="E125" s="4"/>
      <c r="F125" s="4"/>
      <c r="G125" s="4"/>
      <c r="H125" s="4"/>
      <c r="I125" s="4"/>
      <c r="J125" s="18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4"/>
      <c r="X125" s="4"/>
      <c r="Y125" s="4"/>
      <c r="Z125" s="4"/>
    </row>
    <row r="126" spans="1:26" ht="14.25" customHeight="1" x14ac:dyDescent="0.3">
      <c r="A126" s="35"/>
      <c r="B126" s="4"/>
      <c r="C126" s="4"/>
      <c r="D126" s="4"/>
      <c r="E126" s="4"/>
      <c r="F126" s="4"/>
      <c r="G126" s="4"/>
      <c r="H126" s="4"/>
      <c r="I126" s="4"/>
      <c r="J126" s="18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4"/>
      <c r="X126" s="4"/>
      <c r="Y126" s="4"/>
      <c r="Z126" s="4"/>
    </row>
    <row r="127" spans="1:26" ht="14.25" customHeight="1" x14ac:dyDescent="0.3">
      <c r="A127" s="35"/>
      <c r="B127" s="4"/>
      <c r="C127" s="4"/>
      <c r="D127" s="4"/>
      <c r="E127" s="4"/>
      <c r="F127" s="4"/>
      <c r="G127" s="4"/>
      <c r="H127" s="4"/>
      <c r="I127" s="4"/>
      <c r="J127" s="18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4"/>
      <c r="X127" s="4"/>
      <c r="Y127" s="4"/>
      <c r="Z127" s="4"/>
    </row>
    <row r="128" spans="1:26" ht="14.25" customHeight="1" x14ac:dyDescent="0.3">
      <c r="A128" s="35"/>
      <c r="B128" s="4"/>
      <c r="C128" s="4"/>
      <c r="D128" s="4"/>
      <c r="E128" s="4"/>
      <c r="F128" s="4"/>
      <c r="G128" s="4"/>
      <c r="H128" s="4"/>
      <c r="I128" s="4"/>
      <c r="J128" s="1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4"/>
      <c r="X128" s="4"/>
      <c r="Y128" s="4"/>
      <c r="Z128" s="4"/>
    </row>
    <row r="129" spans="1:26" ht="14.25" customHeight="1" x14ac:dyDescent="0.3">
      <c r="A129" s="35"/>
      <c r="B129" s="4"/>
      <c r="C129" s="4"/>
      <c r="D129" s="4"/>
      <c r="E129" s="4"/>
      <c r="F129" s="4"/>
      <c r="G129" s="4"/>
      <c r="H129" s="4"/>
      <c r="I129" s="4"/>
      <c r="J129" s="18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4"/>
      <c r="X129" s="4"/>
      <c r="Y129" s="4"/>
      <c r="Z129" s="4"/>
    </row>
    <row r="130" spans="1:26" ht="14.25" customHeight="1" x14ac:dyDescent="0.3">
      <c r="A130" s="35"/>
      <c r="B130" s="4"/>
      <c r="C130" s="4"/>
      <c r="D130" s="4"/>
      <c r="E130" s="4"/>
      <c r="F130" s="4"/>
      <c r="G130" s="4"/>
      <c r="H130" s="4"/>
      <c r="I130" s="4"/>
      <c r="J130" s="18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4"/>
      <c r="X130" s="4"/>
      <c r="Y130" s="4"/>
      <c r="Z130" s="4"/>
    </row>
    <row r="131" spans="1:26" ht="14.25" customHeight="1" x14ac:dyDescent="0.3">
      <c r="A131" s="35"/>
      <c r="B131" s="4"/>
      <c r="C131" s="4"/>
      <c r="D131" s="4"/>
      <c r="E131" s="4"/>
      <c r="F131" s="4"/>
      <c r="G131" s="4"/>
      <c r="H131" s="4"/>
      <c r="I131" s="4"/>
      <c r="J131" s="18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4"/>
      <c r="X131" s="4"/>
      <c r="Y131" s="4"/>
      <c r="Z131" s="4"/>
    </row>
    <row r="132" spans="1:26" ht="14.25" customHeight="1" x14ac:dyDescent="0.3">
      <c r="A132" s="35"/>
      <c r="B132" s="4"/>
      <c r="C132" s="4"/>
      <c r="D132" s="4"/>
      <c r="E132" s="4"/>
      <c r="F132" s="4"/>
      <c r="G132" s="4"/>
      <c r="H132" s="4"/>
      <c r="I132" s="4"/>
      <c r="J132" s="18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4"/>
      <c r="X132" s="4"/>
      <c r="Y132" s="4"/>
      <c r="Z132" s="4"/>
    </row>
    <row r="133" spans="1:26" ht="14.25" customHeight="1" x14ac:dyDescent="0.3">
      <c r="A133" s="35"/>
      <c r="B133" s="4"/>
      <c r="C133" s="4"/>
      <c r="D133" s="4"/>
      <c r="E133" s="4"/>
      <c r="F133" s="4"/>
      <c r="G133" s="4"/>
      <c r="H133" s="4"/>
      <c r="I133" s="4"/>
      <c r="J133" s="18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4"/>
      <c r="X133" s="4"/>
      <c r="Y133" s="4"/>
      <c r="Z133" s="4"/>
    </row>
    <row r="134" spans="1:26" ht="14.25" customHeight="1" x14ac:dyDescent="0.3">
      <c r="A134" s="35"/>
      <c r="B134" s="4"/>
      <c r="C134" s="4"/>
      <c r="D134" s="4"/>
      <c r="E134" s="4"/>
      <c r="F134" s="4"/>
      <c r="G134" s="4"/>
      <c r="H134" s="4"/>
      <c r="I134" s="4"/>
      <c r="J134" s="18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4"/>
      <c r="X134" s="4"/>
      <c r="Y134" s="4"/>
      <c r="Z134" s="4"/>
    </row>
    <row r="135" spans="1:26" ht="14.25" customHeight="1" x14ac:dyDescent="0.3">
      <c r="A135" s="35"/>
      <c r="B135" s="4"/>
      <c r="C135" s="4"/>
      <c r="D135" s="4"/>
      <c r="E135" s="4"/>
      <c r="F135" s="4"/>
      <c r="G135" s="4"/>
      <c r="H135" s="4"/>
      <c r="I135" s="4"/>
      <c r="J135" s="18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4"/>
      <c r="X135" s="4"/>
      <c r="Y135" s="4"/>
      <c r="Z135" s="4"/>
    </row>
    <row r="136" spans="1:26" ht="14.25" customHeight="1" x14ac:dyDescent="0.3">
      <c r="A136" s="35"/>
      <c r="B136" s="4"/>
      <c r="C136" s="4"/>
      <c r="D136" s="4"/>
      <c r="E136" s="4"/>
      <c r="F136" s="4"/>
      <c r="G136" s="4"/>
      <c r="H136" s="4"/>
      <c r="I136" s="4"/>
      <c r="J136" s="18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4"/>
      <c r="X136" s="4"/>
      <c r="Y136" s="4"/>
      <c r="Z136" s="4"/>
    </row>
    <row r="137" spans="1:26" ht="14.25" customHeight="1" x14ac:dyDescent="0.3">
      <c r="A137" s="35"/>
      <c r="B137" s="4"/>
      <c r="C137" s="4"/>
      <c r="D137" s="4"/>
      <c r="E137" s="4"/>
      <c r="F137" s="4"/>
      <c r="G137" s="4"/>
      <c r="H137" s="4"/>
      <c r="I137" s="4"/>
      <c r="J137" s="18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4"/>
      <c r="X137" s="4"/>
      <c r="Y137" s="4"/>
      <c r="Z137" s="4"/>
    </row>
    <row r="138" spans="1:26" ht="14.25" customHeight="1" x14ac:dyDescent="0.3">
      <c r="A138" s="35"/>
      <c r="B138" s="4"/>
      <c r="C138" s="4"/>
      <c r="D138" s="4"/>
      <c r="E138" s="4"/>
      <c r="F138" s="4"/>
      <c r="G138" s="4"/>
      <c r="H138" s="4"/>
      <c r="I138" s="4"/>
      <c r="J138" s="1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4"/>
      <c r="X138" s="4"/>
      <c r="Y138" s="4"/>
      <c r="Z138" s="4"/>
    </row>
    <row r="139" spans="1:26" ht="14.25" customHeight="1" x14ac:dyDescent="0.3">
      <c r="A139" s="35"/>
      <c r="B139" s="4"/>
      <c r="C139" s="4"/>
      <c r="D139" s="4"/>
      <c r="E139" s="4"/>
      <c r="F139" s="4"/>
      <c r="G139" s="4"/>
      <c r="H139" s="4"/>
      <c r="I139" s="4"/>
      <c r="J139" s="18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4"/>
      <c r="X139" s="4"/>
      <c r="Y139" s="4"/>
      <c r="Z139" s="4"/>
    </row>
    <row r="140" spans="1:26" ht="14.25" customHeight="1" x14ac:dyDescent="0.3">
      <c r="A140" s="35"/>
      <c r="B140" s="4"/>
      <c r="C140" s="4"/>
      <c r="D140" s="4"/>
      <c r="E140" s="4"/>
      <c r="F140" s="4"/>
      <c r="G140" s="4"/>
      <c r="H140" s="4"/>
      <c r="I140" s="4"/>
      <c r="J140" s="18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4"/>
      <c r="X140" s="4"/>
      <c r="Y140" s="4"/>
      <c r="Z140" s="4"/>
    </row>
    <row r="141" spans="1:26" ht="14.25" customHeight="1" x14ac:dyDescent="0.3">
      <c r="A141" s="35"/>
      <c r="B141" s="4"/>
      <c r="C141" s="4"/>
      <c r="D141" s="4"/>
      <c r="E141" s="4"/>
      <c r="F141" s="4"/>
      <c r="G141" s="4"/>
      <c r="H141" s="4"/>
      <c r="I141" s="4"/>
      <c r="J141" s="18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4"/>
      <c r="X141" s="4"/>
      <c r="Y141" s="4"/>
      <c r="Z141" s="4"/>
    </row>
    <row r="142" spans="1:26" ht="14.25" customHeight="1" x14ac:dyDescent="0.3">
      <c r="A142" s="35"/>
      <c r="B142" s="4"/>
      <c r="C142" s="4"/>
      <c r="D142" s="4"/>
      <c r="E142" s="4"/>
      <c r="F142" s="4"/>
      <c r="G142" s="4"/>
      <c r="H142" s="4"/>
      <c r="I142" s="4"/>
      <c r="J142" s="18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4"/>
      <c r="X142" s="4"/>
      <c r="Y142" s="4"/>
      <c r="Z142" s="4"/>
    </row>
    <row r="143" spans="1:26" ht="14.25" customHeight="1" x14ac:dyDescent="0.3">
      <c r="A143" s="35"/>
      <c r="B143" s="4"/>
      <c r="C143" s="4"/>
      <c r="D143" s="4"/>
      <c r="E143" s="4"/>
      <c r="F143" s="4"/>
      <c r="G143" s="4"/>
      <c r="H143" s="4"/>
      <c r="I143" s="4"/>
      <c r="J143" s="18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4"/>
      <c r="X143" s="4"/>
      <c r="Y143" s="4"/>
      <c r="Z143" s="4"/>
    </row>
    <row r="144" spans="1:26" ht="14.25" customHeight="1" x14ac:dyDescent="0.3">
      <c r="A144" s="35"/>
      <c r="B144" s="4"/>
      <c r="C144" s="4"/>
      <c r="D144" s="4"/>
      <c r="E144" s="4"/>
      <c r="F144" s="4"/>
      <c r="G144" s="4"/>
      <c r="H144" s="4"/>
      <c r="I144" s="4"/>
      <c r="J144" s="18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4"/>
      <c r="X144" s="4"/>
      <c r="Y144" s="4"/>
      <c r="Z144" s="4"/>
    </row>
    <row r="145" spans="1:26" ht="14.25" customHeight="1" x14ac:dyDescent="0.3">
      <c r="A145" s="35"/>
      <c r="B145" s="4"/>
      <c r="C145" s="4"/>
      <c r="D145" s="4"/>
      <c r="E145" s="4"/>
      <c r="F145" s="4"/>
      <c r="G145" s="4"/>
      <c r="H145" s="4"/>
      <c r="I145" s="4"/>
      <c r="J145" s="18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4"/>
      <c r="X145" s="4"/>
      <c r="Y145" s="4"/>
      <c r="Z145" s="4"/>
    </row>
    <row r="146" spans="1:26" ht="14.25" customHeight="1" x14ac:dyDescent="0.3">
      <c r="A146" s="35"/>
      <c r="B146" s="4"/>
      <c r="C146" s="4"/>
      <c r="D146" s="4"/>
      <c r="E146" s="4"/>
      <c r="F146" s="4"/>
      <c r="G146" s="4"/>
      <c r="H146" s="4"/>
      <c r="I146" s="4"/>
      <c r="J146" s="18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4"/>
      <c r="X146" s="4"/>
      <c r="Y146" s="4"/>
      <c r="Z146" s="4"/>
    </row>
    <row r="147" spans="1:26" ht="14.25" customHeight="1" x14ac:dyDescent="0.3">
      <c r="A147" s="35"/>
      <c r="B147" s="4"/>
      <c r="C147" s="4"/>
      <c r="D147" s="4"/>
      <c r="E147" s="4"/>
      <c r="F147" s="4"/>
      <c r="G147" s="4"/>
      <c r="H147" s="4"/>
      <c r="I147" s="4"/>
      <c r="J147" s="18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4"/>
      <c r="X147" s="4"/>
      <c r="Y147" s="4"/>
      <c r="Z147" s="4"/>
    </row>
    <row r="148" spans="1:26" ht="14.25" customHeight="1" x14ac:dyDescent="0.3">
      <c r="A148" s="35"/>
      <c r="B148" s="4"/>
      <c r="C148" s="4"/>
      <c r="D148" s="4"/>
      <c r="E148" s="4"/>
      <c r="F148" s="4"/>
      <c r="G148" s="4"/>
      <c r="H148" s="4"/>
      <c r="I148" s="4"/>
      <c r="J148" s="1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4"/>
      <c r="X148" s="4"/>
      <c r="Y148" s="4"/>
      <c r="Z148" s="4"/>
    </row>
    <row r="149" spans="1:26" ht="14.25" customHeight="1" x14ac:dyDescent="0.3">
      <c r="A149" s="35"/>
      <c r="B149" s="4"/>
      <c r="C149" s="4"/>
      <c r="D149" s="4"/>
      <c r="E149" s="4"/>
      <c r="F149" s="4"/>
      <c r="G149" s="4"/>
      <c r="H149" s="4"/>
      <c r="I149" s="4"/>
      <c r="J149" s="18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4"/>
      <c r="X149" s="4"/>
      <c r="Y149" s="4"/>
      <c r="Z149" s="4"/>
    </row>
    <row r="150" spans="1:26" ht="14.25" customHeight="1" x14ac:dyDescent="0.3">
      <c r="A150" s="35"/>
      <c r="B150" s="4"/>
      <c r="C150" s="4"/>
      <c r="D150" s="4"/>
      <c r="E150" s="4"/>
      <c r="F150" s="4"/>
      <c r="G150" s="4"/>
      <c r="H150" s="4"/>
      <c r="I150" s="4"/>
      <c r="J150" s="18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4"/>
      <c r="X150" s="4"/>
      <c r="Y150" s="4"/>
      <c r="Z150" s="4"/>
    </row>
    <row r="151" spans="1:26" ht="14.25" customHeight="1" x14ac:dyDescent="0.3">
      <c r="A151" s="35"/>
      <c r="B151" s="4"/>
      <c r="C151" s="4"/>
      <c r="D151" s="4"/>
      <c r="E151" s="4"/>
      <c r="F151" s="4"/>
      <c r="G151" s="4"/>
      <c r="H151" s="4"/>
      <c r="I151" s="4"/>
      <c r="J151" s="18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4"/>
      <c r="X151" s="4"/>
      <c r="Y151" s="4"/>
      <c r="Z151" s="4"/>
    </row>
    <row r="152" spans="1:26" ht="14.25" customHeight="1" x14ac:dyDescent="0.3">
      <c r="A152" s="35"/>
      <c r="B152" s="4"/>
      <c r="C152" s="4"/>
      <c r="D152" s="4"/>
      <c r="E152" s="4"/>
      <c r="F152" s="4"/>
      <c r="G152" s="4"/>
      <c r="H152" s="4"/>
      <c r="I152" s="4"/>
      <c r="J152" s="18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4"/>
      <c r="X152" s="4"/>
      <c r="Y152" s="4"/>
      <c r="Z152" s="4"/>
    </row>
    <row r="153" spans="1:26" ht="14.25" customHeight="1" x14ac:dyDescent="0.3">
      <c r="A153" s="35"/>
      <c r="B153" s="4"/>
      <c r="C153" s="4"/>
      <c r="D153" s="4"/>
      <c r="E153" s="4"/>
      <c r="F153" s="4"/>
      <c r="G153" s="4"/>
      <c r="H153" s="4"/>
      <c r="I153" s="4"/>
      <c r="J153" s="18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4"/>
      <c r="X153" s="4"/>
      <c r="Y153" s="4"/>
      <c r="Z153" s="4"/>
    </row>
    <row r="154" spans="1:26" ht="14.25" customHeight="1" x14ac:dyDescent="0.3">
      <c r="A154" s="35"/>
      <c r="B154" s="4"/>
      <c r="C154" s="4"/>
      <c r="D154" s="4"/>
      <c r="E154" s="4"/>
      <c r="F154" s="4"/>
      <c r="G154" s="4"/>
      <c r="H154" s="4"/>
      <c r="I154" s="4"/>
      <c r="J154" s="18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4"/>
      <c r="X154" s="4"/>
      <c r="Y154" s="4"/>
      <c r="Z154" s="4"/>
    </row>
    <row r="155" spans="1:26" ht="14.25" customHeight="1" x14ac:dyDescent="0.3">
      <c r="A155" s="35"/>
      <c r="B155" s="4"/>
      <c r="C155" s="4"/>
      <c r="D155" s="4"/>
      <c r="E155" s="4"/>
      <c r="F155" s="4"/>
      <c r="G155" s="4"/>
      <c r="H155" s="4"/>
      <c r="I155" s="4"/>
      <c r="J155" s="18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4"/>
      <c r="X155" s="4"/>
      <c r="Y155" s="4"/>
      <c r="Z155" s="4"/>
    </row>
    <row r="156" spans="1:26" ht="14.25" customHeight="1" x14ac:dyDescent="0.3">
      <c r="A156" s="35"/>
      <c r="B156" s="4"/>
      <c r="C156" s="4"/>
      <c r="D156" s="4"/>
      <c r="E156" s="4"/>
      <c r="F156" s="4"/>
      <c r="G156" s="4"/>
      <c r="H156" s="4"/>
      <c r="I156" s="4"/>
      <c r="J156" s="18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4"/>
      <c r="X156" s="4"/>
      <c r="Y156" s="4"/>
      <c r="Z156" s="4"/>
    </row>
    <row r="157" spans="1:26" ht="14.25" customHeight="1" x14ac:dyDescent="0.3">
      <c r="A157" s="35"/>
      <c r="B157" s="4"/>
      <c r="C157" s="4"/>
      <c r="D157" s="4"/>
      <c r="E157" s="4"/>
      <c r="F157" s="4"/>
      <c r="G157" s="4"/>
      <c r="H157" s="4"/>
      <c r="I157" s="4"/>
      <c r="J157" s="18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4"/>
      <c r="X157" s="4"/>
      <c r="Y157" s="4"/>
      <c r="Z157" s="4"/>
    </row>
    <row r="158" spans="1:26" ht="14.25" customHeight="1" x14ac:dyDescent="0.3">
      <c r="A158" s="35"/>
      <c r="B158" s="4"/>
      <c r="C158" s="4"/>
      <c r="D158" s="4"/>
      <c r="E158" s="4"/>
      <c r="F158" s="4"/>
      <c r="G158" s="4"/>
      <c r="H158" s="4"/>
      <c r="I158" s="4"/>
      <c r="J158" s="1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4"/>
      <c r="X158" s="4"/>
      <c r="Y158" s="4"/>
      <c r="Z158" s="4"/>
    </row>
    <row r="159" spans="1:26" ht="14.25" customHeight="1" x14ac:dyDescent="0.3">
      <c r="A159" s="35"/>
      <c r="B159" s="4"/>
      <c r="C159" s="4"/>
      <c r="D159" s="4"/>
      <c r="E159" s="4"/>
      <c r="F159" s="4"/>
      <c r="G159" s="4"/>
      <c r="H159" s="4"/>
      <c r="I159" s="4"/>
      <c r="J159" s="18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4"/>
      <c r="X159" s="4"/>
      <c r="Y159" s="4"/>
      <c r="Z159" s="4"/>
    </row>
    <row r="160" spans="1:26" ht="14.25" customHeight="1" x14ac:dyDescent="0.3">
      <c r="A160" s="35"/>
      <c r="B160" s="4"/>
      <c r="C160" s="4"/>
      <c r="D160" s="4"/>
      <c r="E160" s="4"/>
      <c r="F160" s="4"/>
      <c r="G160" s="4"/>
      <c r="H160" s="4"/>
      <c r="I160" s="4"/>
      <c r="J160" s="18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4"/>
      <c r="X160" s="4"/>
      <c r="Y160" s="4"/>
      <c r="Z160" s="4"/>
    </row>
    <row r="161" spans="1:26" ht="14.25" customHeight="1" x14ac:dyDescent="0.3">
      <c r="A161" s="35"/>
      <c r="B161" s="4"/>
      <c r="C161" s="4"/>
      <c r="D161" s="4"/>
      <c r="E161" s="4"/>
      <c r="F161" s="4"/>
      <c r="G161" s="4"/>
      <c r="H161" s="4"/>
      <c r="I161" s="4"/>
      <c r="J161" s="18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4"/>
      <c r="X161" s="4"/>
      <c r="Y161" s="4"/>
      <c r="Z161" s="4"/>
    </row>
    <row r="162" spans="1:26" ht="14.25" customHeight="1" x14ac:dyDescent="0.3">
      <c r="A162" s="35"/>
      <c r="B162" s="4"/>
      <c r="C162" s="4"/>
      <c r="D162" s="4"/>
      <c r="E162" s="4"/>
      <c r="F162" s="4"/>
      <c r="G162" s="4"/>
      <c r="H162" s="4"/>
      <c r="I162" s="4"/>
      <c r="J162" s="18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4"/>
      <c r="X162" s="4"/>
      <c r="Y162" s="4"/>
      <c r="Z162" s="4"/>
    </row>
    <row r="163" spans="1:26" ht="14.25" customHeight="1" x14ac:dyDescent="0.3">
      <c r="A163" s="35"/>
      <c r="B163" s="4"/>
      <c r="C163" s="4"/>
      <c r="D163" s="4"/>
      <c r="E163" s="4"/>
      <c r="F163" s="4"/>
      <c r="G163" s="4"/>
      <c r="H163" s="4"/>
      <c r="I163" s="4"/>
      <c r="J163" s="18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4"/>
      <c r="X163" s="4"/>
      <c r="Y163" s="4"/>
      <c r="Z163" s="4"/>
    </row>
    <row r="164" spans="1:26" ht="14.25" customHeight="1" x14ac:dyDescent="0.3">
      <c r="A164" s="35"/>
      <c r="B164" s="4"/>
      <c r="C164" s="4"/>
      <c r="D164" s="4"/>
      <c r="E164" s="4"/>
      <c r="F164" s="4"/>
      <c r="G164" s="4"/>
      <c r="H164" s="4"/>
      <c r="I164" s="4"/>
      <c r="J164" s="18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4"/>
      <c r="X164" s="4"/>
      <c r="Y164" s="4"/>
      <c r="Z164" s="4"/>
    </row>
    <row r="165" spans="1:26" ht="14.25" customHeight="1" x14ac:dyDescent="0.3">
      <c r="A165" s="35"/>
      <c r="B165" s="4"/>
      <c r="C165" s="4"/>
      <c r="D165" s="4"/>
      <c r="E165" s="4"/>
      <c r="F165" s="4"/>
      <c r="G165" s="4"/>
      <c r="H165" s="4"/>
      <c r="I165" s="4"/>
      <c r="J165" s="18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4"/>
      <c r="X165" s="4"/>
      <c r="Y165" s="4"/>
      <c r="Z165" s="4"/>
    </row>
    <row r="166" spans="1:26" ht="14.25" customHeight="1" x14ac:dyDescent="0.3">
      <c r="A166" s="35"/>
      <c r="B166" s="4"/>
      <c r="C166" s="4"/>
      <c r="D166" s="4"/>
      <c r="E166" s="4"/>
      <c r="F166" s="4"/>
      <c r="G166" s="4"/>
      <c r="H166" s="4"/>
      <c r="I166" s="4"/>
      <c r="J166" s="18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4"/>
      <c r="X166" s="4"/>
      <c r="Y166" s="4"/>
      <c r="Z166" s="4"/>
    </row>
    <row r="167" spans="1:26" ht="14.25" customHeight="1" x14ac:dyDescent="0.3">
      <c r="A167" s="35"/>
      <c r="B167" s="4"/>
      <c r="C167" s="4"/>
      <c r="D167" s="4"/>
      <c r="E167" s="4"/>
      <c r="F167" s="4"/>
      <c r="G167" s="4"/>
      <c r="H167" s="4"/>
      <c r="I167" s="4"/>
      <c r="J167" s="18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4"/>
      <c r="X167" s="4"/>
      <c r="Y167" s="4"/>
      <c r="Z167" s="4"/>
    </row>
    <row r="168" spans="1:26" ht="14.25" customHeight="1" x14ac:dyDescent="0.3">
      <c r="A168" s="35"/>
      <c r="B168" s="4"/>
      <c r="C168" s="4"/>
      <c r="D168" s="4"/>
      <c r="E168" s="4"/>
      <c r="F168" s="4"/>
      <c r="G168" s="4"/>
      <c r="H168" s="4"/>
      <c r="I168" s="4"/>
      <c r="J168" s="1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4"/>
      <c r="X168" s="4"/>
      <c r="Y168" s="4"/>
      <c r="Z168" s="4"/>
    </row>
    <row r="169" spans="1:26" ht="14.25" customHeight="1" x14ac:dyDescent="0.3">
      <c r="A169" s="35"/>
      <c r="B169" s="4"/>
      <c r="C169" s="4"/>
      <c r="D169" s="4"/>
      <c r="E169" s="4"/>
      <c r="F169" s="4"/>
      <c r="G169" s="4"/>
      <c r="H169" s="4"/>
      <c r="I169" s="4"/>
      <c r="J169" s="18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4"/>
      <c r="X169" s="4"/>
      <c r="Y169" s="4"/>
      <c r="Z169" s="4"/>
    </row>
    <row r="170" spans="1:26" ht="14.25" customHeight="1" x14ac:dyDescent="0.3">
      <c r="A170" s="35"/>
      <c r="B170" s="4"/>
      <c r="C170" s="4"/>
      <c r="D170" s="4"/>
      <c r="E170" s="4"/>
      <c r="F170" s="4"/>
      <c r="G170" s="4"/>
      <c r="H170" s="4"/>
      <c r="I170" s="4"/>
      <c r="J170" s="18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4"/>
      <c r="X170" s="4"/>
      <c r="Y170" s="4"/>
      <c r="Z170" s="4"/>
    </row>
    <row r="171" spans="1:26" ht="14.25" customHeight="1" x14ac:dyDescent="0.3">
      <c r="A171" s="35"/>
      <c r="B171" s="4"/>
      <c r="C171" s="4"/>
      <c r="D171" s="4"/>
      <c r="E171" s="4"/>
      <c r="F171" s="4"/>
      <c r="G171" s="4"/>
      <c r="H171" s="4"/>
      <c r="I171" s="4"/>
      <c r="J171" s="18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4"/>
      <c r="X171" s="4"/>
      <c r="Y171" s="4"/>
      <c r="Z171" s="4"/>
    </row>
    <row r="172" spans="1:26" ht="14.25" customHeight="1" x14ac:dyDescent="0.3">
      <c r="A172" s="35"/>
      <c r="B172" s="4"/>
      <c r="C172" s="4"/>
      <c r="D172" s="4"/>
      <c r="E172" s="4"/>
      <c r="F172" s="4"/>
      <c r="G172" s="4"/>
      <c r="H172" s="4"/>
      <c r="I172" s="4"/>
      <c r="J172" s="18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4"/>
      <c r="X172" s="4"/>
      <c r="Y172" s="4"/>
      <c r="Z172" s="4"/>
    </row>
    <row r="173" spans="1:26" ht="14.25" customHeight="1" x14ac:dyDescent="0.3">
      <c r="A173" s="35"/>
      <c r="B173" s="4"/>
      <c r="C173" s="4"/>
      <c r="D173" s="4"/>
      <c r="E173" s="4"/>
      <c r="F173" s="4"/>
      <c r="G173" s="4"/>
      <c r="H173" s="4"/>
      <c r="I173" s="4"/>
      <c r="J173" s="18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4"/>
      <c r="X173" s="4"/>
      <c r="Y173" s="4"/>
      <c r="Z173" s="4"/>
    </row>
    <row r="174" spans="1:26" ht="14.25" customHeight="1" x14ac:dyDescent="0.3">
      <c r="A174" s="35"/>
      <c r="B174" s="4"/>
      <c r="C174" s="4"/>
      <c r="D174" s="4"/>
      <c r="E174" s="4"/>
      <c r="F174" s="4"/>
      <c r="G174" s="4"/>
      <c r="H174" s="4"/>
      <c r="I174" s="4"/>
      <c r="J174" s="18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4"/>
      <c r="X174" s="4"/>
      <c r="Y174" s="4"/>
      <c r="Z174" s="4"/>
    </row>
    <row r="175" spans="1:26" ht="14.25" customHeight="1" x14ac:dyDescent="0.3">
      <c r="A175" s="35"/>
      <c r="B175" s="4"/>
      <c r="C175" s="4"/>
      <c r="D175" s="4"/>
      <c r="E175" s="4"/>
      <c r="F175" s="4"/>
      <c r="G175" s="4"/>
      <c r="H175" s="4"/>
      <c r="I175" s="4"/>
      <c r="J175" s="18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4"/>
      <c r="X175" s="4"/>
      <c r="Y175" s="4"/>
      <c r="Z175" s="4"/>
    </row>
    <row r="176" spans="1:26" ht="14.25" customHeight="1" x14ac:dyDescent="0.3">
      <c r="A176" s="35"/>
      <c r="B176" s="4"/>
      <c r="C176" s="4"/>
      <c r="D176" s="4"/>
      <c r="E176" s="4"/>
      <c r="F176" s="4"/>
      <c r="G176" s="4"/>
      <c r="H176" s="4"/>
      <c r="I176" s="4"/>
      <c r="J176" s="18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4"/>
      <c r="X176" s="4"/>
      <c r="Y176" s="4"/>
      <c r="Z176" s="4"/>
    </row>
    <row r="177" spans="1:26" ht="14.25" customHeight="1" x14ac:dyDescent="0.3">
      <c r="A177" s="35"/>
      <c r="B177" s="4"/>
      <c r="C177" s="4"/>
      <c r="D177" s="4"/>
      <c r="E177" s="4"/>
      <c r="F177" s="4"/>
      <c r="G177" s="4"/>
      <c r="H177" s="4"/>
      <c r="I177" s="4"/>
      <c r="J177" s="18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4"/>
      <c r="X177" s="4"/>
      <c r="Y177" s="4"/>
      <c r="Z177" s="4"/>
    </row>
    <row r="178" spans="1:26" ht="14.25" customHeight="1" x14ac:dyDescent="0.3">
      <c r="A178" s="35"/>
      <c r="B178" s="4"/>
      <c r="C178" s="4"/>
      <c r="D178" s="4"/>
      <c r="E178" s="4"/>
      <c r="F178" s="4"/>
      <c r="G178" s="4"/>
      <c r="H178" s="4"/>
      <c r="I178" s="4"/>
      <c r="J178" s="1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4"/>
      <c r="X178" s="4"/>
      <c r="Y178" s="4"/>
      <c r="Z178" s="4"/>
    </row>
    <row r="179" spans="1:26" ht="14.25" customHeight="1" x14ac:dyDescent="0.3">
      <c r="A179" s="35"/>
      <c r="B179" s="4"/>
      <c r="C179" s="4"/>
      <c r="D179" s="4"/>
      <c r="E179" s="4"/>
      <c r="F179" s="4"/>
      <c r="G179" s="4"/>
      <c r="H179" s="4"/>
      <c r="I179" s="4"/>
      <c r="J179" s="18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4"/>
      <c r="X179" s="4"/>
      <c r="Y179" s="4"/>
      <c r="Z179" s="4"/>
    </row>
    <row r="180" spans="1:26" ht="14.25" customHeight="1" x14ac:dyDescent="0.3">
      <c r="A180" s="35"/>
      <c r="B180" s="4"/>
      <c r="C180" s="4"/>
      <c r="D180" s="4"/>
      <c r="E180" s="4"/>
      <c r="F180" s="4"/>
      <c r="G180" s="4"/>
      <c r="H180" s="4"/>
      <c r="I180" s="4"/>
      <c r="J180" s="18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4"/>
      <c r="X180" s="4"/>
      <c r="Y180" s="4"/>
      <c r="Z180" s="4"/>
    </row>
    <row r="181" spans="1:26" ht="14.25" customHeight="1" x14ac:dyDescent="0.3">
      <c r="A181" s="35"/>
      <c r="B181" s="4"/>
      <c r="C181" s="4"/>
      <c r="D181" s="4"/>
      <c r="E181" s="4"/>
      <c r="F181" s="4"/>
      <c r="G181" s="4"/>
      <c r="H181" s="4"/>
      <c r="I181" s="4"/>
      <c r="J181" s="18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4"/>
      <c r="X181" s="4"/>
      <c r="Y181" s="4"/>
      <c r="Z181" s="4"/>
    </row>
    <row r="182" spans="1:26" ht="14.25" customHeight="1" x14ac:dyDescent="0.3">
      <c r="A182" s="35"/>
      <c r="B182" s="4"/>
      <c r="C182" s="4"/>
      <c r="D182" s="4"/>
      <c r="E182" s="4"/>
      <c r="F182" s="4"/>
      <c r="G182" s="4"/>
      <c r="H182" s="4"/>
      <c r="I182" s="4"/>
      <c r="J182" s="18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4"/>
      <c r="X182" s="4"/>
      <c r="Y182" s="4"/>
      <c r="Z182" s="4"/>
    </row>
    <row r="183" spans="1:26" ht="14.25" customHeight="1" x14ac:dyDescent="0.3">
      <c r="A183" s="35"/>
      <c r="B183" s="4"/>
      <c r="C183" s="4"/>
      <c r="D183" s="4"/>
      <c r="E183" s="4"/>
      <c r="F183" s="4"/>
      <c r="G183" s="4"/>
      <c r="H183" s="4"/>
      <c r="I183" s="4"/>
      <c r="J183" s="18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4"/>
      <c r="X183" s="4"/>
      <c r="Y183" s="4"/>
      <c r="Z183" s="4"/>
    </row>
    <row r="184" spans="1:26" ht="14.25" customHeight="1" x14ac:dyDescent="0.3">
      <c r="A184" s="35"/>
      <c r="B184" s="4"/>
      <c r="C184" s="4"/>
      <c r="D184" s="4"/>
      <c r="E184" s="4"/>
      <c r="F184" s="4"/>
      <c r="G184" s="4"/>
      <c r="H184" s="4"/>
      <c r="I184" s="4"/>
      <c r="J184" s="18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4"/>
      <c r="X184" s="4"/>
      <c r="Y184" s="4"/>
      <c r="Z184" s="4"/>
    </row>
    <row r="185" spans="1:26" ht="14.25" customHeight="1" x14ac:dyDescent="0.3">
      <c r="A185" s="35"/>
      <c r="B185" s="4"/>
      <c r="C185" s="4"/>
      <c r="D185" s="4"/>
      <c r="E185" s="4"/>
      <c r="F185" s="4"/>
      <c r="G185" s="4"/>
      <c r="H185" s="4"/>
      <c r="I185" s="4"/>
      <c r="J185" s="18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4"/>
      <c r="X185" s="4"/>
      <c r="Y185" s="4"/>
      <c r="Z185" s="4"/>
    </row>
    <row r="186" spans="1:26" ht="14.25" customHeight="1" x14ac:dyDescent="0.3">
      <c r="A186" s="35"/>
      <c r="B186" s="4"/>
      <c r="C186" s="4"/>
      <c r="D186" s="4"/>
      <c r="E186" s="4"/>
      <c r="F186" s="4"/>
      <c r="G186" s="4"/>
      <c r="H186" s="4"/>
      <c r="I186" s="4"/>
      <c r="J186" s="18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4"/>
      <c r="X186" s="4"/>
      <c r="Y186" s="4"/>
      <c r="Z186" s="4"/>
    </row>
    <row r="187" spans="1:26" ht="14.25" customHeight="1" x14ac:dyDescent="0.3">
      <c r="A187" s="35"/>
      <c r="B187" s="4"/>
      <c r="C187" s="4"/>
      <c r="D187" s="4"/>
      <c r="E187" s="4"/>
      <c r="F187" s="4"/>
      <c r="G187" s="4"/>
      <c r="H187" s="4"/>
      <c r="I187" s="4"/>
      <c r="J187" s="18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4"/>
      <c r="X187" s="4"/>
      <c r="Y187" s="4"/>
      <c r="Z187" s="4"/>
    </row>
    <row r="188" spans="1:26" ht="14.25" customHeight="1" x14ac:dyDescent="0.3">
      <c r="A188" s="35"/>
      <c r="B188" s="4"/>
      <c r="C188" s="4"/>
      <c r="D188" s="4"/>
      <c r="E188" s="4"/>
      <c r="F188" s="4"/>
      <c r="G188" s="4"/>
      <c r="H188" s="4"/>
      <c r="I188" s="4"/>
      <c r="J188" s="1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4"/>
      <c r="X188" s="4"/>
      <c r="Y188" s="4"/>
      <c r="Z188" s="4"/>
    </row>
    <row r="189" spans="1:26" ht="14.25" customHeight="1" x14ac:dyDescent="0.3">
      <c r="A189" s="35"/>
      <c r="B189" s="4"/>
      <c r="C189" s="4"/>
      <c r="D189" s="4"/>
      <c r="E189" s="4"/>
      <c r="F189" s="4"/>
      <c r="G189" s="4"/>
      <c r="H189" s="4"/>
      <c r="I189" s="4"/>
      <c r="J189" s="18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4"/>
      <c r="X189" s="4"/>
      <c r="Y189" s="4"/>
      <c r="Z189" s="4"/>
    </row>
    <row r="190" spans="1:26" ht="14.25" customHeight="1" x14ac:dyDescent="0.3">
      <c r="A190" s="35"/>
      <c r="B190" s="4"/>
      <c r="C190" s="4"/>
      <c r="D190" s="4"/>
      <c r="E190" s="4"/>
      <c r="F190" s="4"/>
      <c r="G190" s="4"/>
      <c r="H190" s="4"/>
      <c r="I190" s="4"/>
      <c r="J190" s="18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4"/>
      <c r="X190" s="4"/>
      <c r="Y190" s="4"/>
      <c r="Z190" s="4"/>
    </row>
    <row r="191" spans="1:26" ht="14.25" customHeight="1" x14ac:dyDescent="0.3">
      <c r="A191" s="35"/>
      <c r="B191" s="4"/>
      <c r="C191" s="4"/>
      <c r="D191" s="4"/>
      <c r="E191" s="4"/>
      <c r="F191" s="4"/>
      <c r="G191" s="4"/>
      <c r="H191" s="4"/>
      <c r="I191" s="4"/>
      <c r="J191" s="18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4"/>
      <c r="X191" s="4"/>
      <c r="Y191" s="4"/>
      <c r="Z191" s="4"/>
    </row>
    <row r="192" spans="1:26" ht="14.25" customHeight="1" x14ac:dyDescent="0.3">
      <c r="A192" s="35"/>
      <c r="B192" s="4"/>
      <c r="C192" s="4"/>
      <c r="D192" s="4"/>
      <c r="E192" s="4"/>
      <c r="F192" s="4"/>
      <c r="G192" s="4"/>
      <c r="H192" s="4"/>
      <c r="I192" s="4"/>
      <c r="J192" s="18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4"/>
      <c r="X192" s="4"/>
      <c r="Y192" s="4"/>
      <c r="Z192" s="4"/>
    </row>
    <row r="193" spans="1:26" ht="14.25" customHeight="1" x14ac:dyDescent="0.3">
      <c r="A193" s="35"/>
      <c r="B193" s="4"/>
      <c r="C193" s="4"/>
      <c r="D193" s="4"/>
      <c r="E193" s="4"/>
      <c r="F193" s="4"/>
      <c r="G193" s="4"/>
      <c r="H193" s="4"/>
      <c r="I193" s="4"/>
      <c r="J193" s="18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4"/>
      <c r="X193" s="4"/>
      <c r="Y193" s="4"/>
      <c r="Z193" s="4"/>
    </row>
    <row r="194" spans="1:26" ht="14.25" customHeight="1" x14ac:dyDescent="0.3">
      <c r="A194" s="35"/>
      <c r="B194" s="4"/>
      <c r="C194" s="4"/>
      <c r="D194" s="4"/>
      <c r="E194" s="4"/>
      <c r="F194" s="4"/>
      <c r="G194" s="4"/>
      <c r="H194" s="4"/>
      <c r="I194" s="4"/>
      <c r="J194" s="18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4"/>
      <c r="X194" s="4"/>
      <c r="Y194" s="4"/>
      <c r="Z194" s="4"/>
    </row>
    <row r="195" spans="1:26" ht="14.25" customHeight="1" x14ac:dyDescent="0.3">
      <c r="A195" s="35"/>
      <c r="B195" s="4"/>
      <c r="C195" s="4"/>
      <c r="D195" s="4"/>
      <c r="E195" s="4"/>
      <c r="F195" s="4"/>
      <c r="G195" s="4"/>
      <c r="H195" s="4"/>
      <c r="I195" s="4"/>
      <c r="J195" s="18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4"/>
      <c r="X195" s="4"/>
      <c r="Y195" s="4"/>
      <c r="Z195" s="4"/>
    </row>
    <row r="196" spans="1:26" ht="14.25" customHeight="1" x14ac:dyDescent="0.3">
      <c r="A196" s="35"/>
      <c r="B196" s="4"/>
      <c r="C196" s="4"/>
      <c r="D196" s="4"/>
      <c r="E196" s="4"/>
      <c r="F196" s="4"/>
      <c r="G196" s="4"/>
      <c r="H196" s="4"/>
      <c r="I196" s="4"/>
      <c r="J196" s="18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4"/>
      <c r="X196" s="4"/>
      <c r="Y196" s="4"/>
      <c r="Z196" s="4"/>
    </row>
    <row r="197" spans="1:26" ht="14.25" customHeight="1" x14ac:dyDescent="0.3">
      <c r="A197" s="35"/>
      <c r="B197" s="4"/>
      <c r="C197" s="4"/>
      <c r="D197" s="4"/>
      <c r="E197" s="4"/>
      <c r="F197" s="4"/>
      <c r="G197" s="4"/>
      <c r="H197" s="4"/>
      <c r="I197" s="4"/>
      <c r="J197" s="18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4"/>
      <c r="X197" s="4"/>
      <c r="Y197" s="4"/>
      <c r="Z197" s="4"/>
    </row>
    <row r="198" spans="1:26" ht="14.25" customHeight="1" x14ac:dyDescent="0.3">
      <c r="A198" s="35"/>
      <c r="B198" s="4"/>
      <c r="C198" s="4"/>
      <c r="D198" s="4"/>
      <c r="E198" s="4"/>
      <c r="F198" s="4"/>
      <c r="G198" s="4"/>
      <c r="H198" s="4"/>
      <c r="I198" s="4"/>
      <c r="J198" s="1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4"/>
      <c r="X198" s="4"/>
      <c r="Y198" s="4"/>
      <c r="Z198" s="4"/>
    </row>
    <row r="199" spans="1:26" ht="14.25" customHeight="1" x14ac:dyDescent="0.3">
      <c r="A199" s="35"/>
      <c r="B199" s="4"/>
      <c r="C199" s="4"/>
      <c r="D199" s="4"/>
      <c r="E199" s="4"/>
      <c r="F199" s="4"/>
      <c r="G199" s="4"/>
      <c r="H199" s="4"/>
      <c r="I199" s="4"/>
      <c r="J199" s="18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4"/>
      <c r="X199" s="4"/>
      <c r="Y199" s="4"/>
      <c r="Z199" s="4"/>
    </row>
    <row r="200" spans="1:26" ht="14.25" customHeight="1" x14ac:dyDescent="0.3">
      <c r="A200" s="35"/>
      <c r="B200" s="4"/>
      <c r="C200" s="4"/>
      <c r="D200" s="4"/>
      <c r="E200" s="4"/>
      <c r="F200" s="4"/>
      <c r="G200" s="4"/>
      <c r="H200" s="4"/>
      <c r="I200" s="4"/>
      <c r="J200" s="18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4"/>
      <c r="X200" s="4"/>
      <c r="Y200" s="4"/>
      <c r="Z200" s="4"/>
    </row>
    <row r="201" spans="1:26" ht="14.25" customHeight="1" x14ac:dyDescent="0.3">
      <c r="A201" s="35"/>
      <c r="B201" s="4"/>
      <c r="C201" s="4"/>
      <c r="D201" s="4"/>
      <c r="E201" s="4"/>
      <c r="F201" s="4"/>
      <c r="G201" s="4"/>
      <c r="H201" s="4"/>
      <c r="I201" s="4"/>
      <c r="J201" s="18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4"/>
      <c r="X201" s="4"/>
      <c r="Y201" s="4"/>
      <c r="Z201" s="4"/>
    </row>
    <row r="202" spans="1:26" ht="14.25" customHeight="1" x14ac:dyDescent="0.3">
      <c r="A202" s="35"/>
      <c r="B202" s="4"/>
      <c r="C202" s="4"/>
      <c r="D202" s="4"/>
      <c r="E202" s="4"/>
      <c r="F202" s="4"/>
      <c r="G202" s="4"/>
      <c r="H202" s="4"/>
      <c r="I202" s="4"/>
      <c r="J202" s="18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4"/>
      <c r="X202" s="4"/>
      <c r="Y202" s="4"/>
      <c r="Z202" s="4"/>
    </row>
    <row r="203" spans="1:26" ht="14.25" customHeight="1" x14ac:dyDescent="0.3">
      <c r="A203" s="35"/>
      <c r="B203" s="4"/>
      <c r="C203" s="4"/>
      <c r="D203" s="4"/>
      <c r="E203" s="4"/>
      <c r="F203" s="4"/>
      <c r="G203" s="4"/>
      <c r="H203" s="4"/>
      <c r="I203" s="4"/>
      <c r="J203" s="18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4"/>
      <c r="X203" s="4"/>
      <c r="Y203" s="4"/>
      <c r="Z203" s="4"/>
    </row>
    <row r="204" spans="1:26" ht="14.25" customHeight="1" x14ac:dyDescent="0.3">
      <c r="A204" s="35"/>
      <c r="B204" s="4"/>
      <c r="C204" s="4"/>
      <c r="D204" s="4"/>
      <c r="E204" s="4"/>
      <c r="F204" s="4"/>
      <c r="G204" s="4"/>
      <c r="H204" s="4"/>
      <c r="I204" s="4"/>
      <c r="J204" s="18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4"/>
      <c r="X204" s="4"/>
      <c r="Y204" s="4"/>
      <c r="Z204" s="4"/>
    </row>
    <row r="205" spans="1:26" ht="14.25" customHeight="1" x14ac:dyDescent="0.3">
      <c r="A205" s="35"/>
      <c r="B205" s="4"/>
      <c r="C205" s="4"/>
      <c r="D205" s="4"/>
      <c r="E205" s="4"/>
      <c r="F205" s="4"/>
      <c r="G205" s="4"/>
      <c r="H205" s="4"/>
      <c r="I205" s="4"/>
      <c r="J205" s="18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4"/>
      <c r="X205" s="4"/>
      <c r="Y205" s="4"/>
      <c r="Z205" s="4"/>
    </row>
    <row r="206" spans="1:26" ht="14.25" customHeight="1" x14ac:dyDescent="0.3">
      <c r="A206" s="35"/>
      <c r="B206" s="4"/>
      <c r="C206" s="4"/>
      <c r="D206" s="4"/>
      <c r="E206" s="4"/>
      <c r="F206" s="4"/>
      <c r="G206" s="4"/>
      <c r="H206" s="4"/>
      <c r="I206" s="4"/>
      <c r="J206" s="18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4"/>
      <c r="X206" s="4"/>
      <c r="Y206" s="4"/>
      <c r="Z206" s="4"/>
    </row>
    <row r="207" spans="1:26" ht="14.25" customHeight="1" x14ac:dyDescent="0.3">
      <c r="A207" s="35"/>
      <c r="B207" s="4"/>
      <c r="C207" s="4"/>
      <c r="D207" s="4"/>
      <c r="E207" s="4"/>
      <c r="F207" s="4"/>
      <c r="G207" s="4"/>
      <c r="H207" s="4"/>
      <c r="I207" s="4"/>
      <c r="J207" s="18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4"/>
      <c r="X207" s="4"/>
      <c r="Y207" s="4"/>
      <c r="Z207" s="4"/>
    </row>
    <row r="208" spans="1:26" ht="14.25" customHeight="1" x14ac:dyDescent="0.3">
      <c r="A208" s="35"/>
      <c r="B208" s="4"/>
      <c r="C208" s="4"/>
      <c r="D208" s="4"/>
      <c r="E208" s="4"/>
      <c r="F208" s="4"/>
      <c r="G208" s="4"/>
      <c r="H208" s="4"/>
      <c r="I208" s="4"/>
      <c r="J208" s="1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4"/>
      <c r="X208" s="4"/>
      <c r="Y208" s="4"/>
      <c r="Z208" s="4"/>
    </row>
    <row r="209" spans="1:26" ht="14.25" customHeight="1" x14ac:dyDescent="0.3">
      <c r="A209" s="35"/>
      <c r="B209" s="4"/>
      <c r="C209" s="4"/>
      <c r="D209" s="4"/>
      <c r="E209" s="4"/>
      <c r="F209" s="4"/>
      <c r="G209" s="4"/>
      <c r="H209" s="4"/>
      <c r="I209" s="4"/>
      <c r="J209" s="18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4"/>
      <c r="X209" s="4"/>
      <c r="Y209" s="4"/>
      <c r="Z209" s="4"/>
    </row>
    <row r="210" spans="1:26" ht="14.25" customHeight="1" x14ac:dyDescent="0.3">
      <c r="A210" s="35"/>
      <c r="B210" s="4"/>
      <c r="C210" s="4"/>
      <c r="D210" s="4"/>
      <c r="E210" s="4"/>
      <c r="F210" s="4"/>
      <c r="G210" s="4"/>
      <c r="H210" s="4"/>
      <c r="I210" s="4"/>
      <c r="J210" s="18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4"/>
      <c r="X210" s="4"/>
      <c r="Y210" s="4"/>
      <c r="Z210" s="4"/>
    </row>
    <row r="211" spans="1:26" ht="14.25" customHeight="1" x14ac:dyDescent="0.3">
      <c r="A211" s="35"/>
      <c r="B211" s="4"/>
      <c r="C211" s="4"/>
      <c r="D211" s="4"/>
      <c r="E211" s="4"/>
      <c r="F211" s="4"/>
      <c r="G211" s="4"/>
      <c r="H211" s="4"/>
      <c r="I211" s="4"/>
      <c r="J211" s="18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4"/>
      <c r="X211" s="4"/>
      <c r="Y211" s="4"/>
      <c r="Z211" s="4"/>
    </row>
    <row r="212" spans="1:26" ht="14.25" customHeight="1" x14ac:dyDescent="0.3">
      <c r="A212" s="35"/>
      <c r="B212" s="4"/>
      <c r="C212" s="4"/>
      <c r="D212" s="4"/>
      <c r="E212" s="4"/>
      <c r="F212" s="4"/>
      <c r="G212" s="4"/>
      <c r="H212" s="4"/>
      <c r="I212" s="4"/>
      <c r="J212" s="18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4"/>
      <c r="X212" s="4"/>
      <c r="Y212" s="4"/>
      <c r="Z212" s="4"/>
    </row>
    <row r="213" spans="1:26" ht="14.25" customHeight="1" x14ac:dyDescent="0.3">
      <c r="A213" s="35"/>
      <c r="B213" s="4"/>
      <c r="C213" s="4"/>
      <c r="D213" s="4"/>
      <c r="E213" s="4"/>
      <c r="F213" s="4"/>
      <c r="G213" s="4"/>
      <c r="H213" s="4"/>
      <c r="I213" s="4"/>
      <c r="J213" s="18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4"/>
      <c r="X213" s="4"/>
      <c r="Y213" s="4"/>
      <c r="Z213" s="4"/>
    </row>
    <row r="214" spans="1:26" ht="14.25" customHeight="1" x14ac:dyDescent="0.3">
      <c r="A214" s="35"/>
      <c r="B214" s="4"/>
      <c r="C214" s="4"/>
      <c r="D214" s="4"/>
      <c r="E214" s="4"/>
      <c r="F214" s="4"/>
      <c r="G214" s="4"/>
      <c r="H214" s="4"/>
      <c r="I214" s="4"/>
      <c r="J214" s="18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4"/>
      <c r="X214" s="4"/>
      <c r="Y214" s="4"/>
      <c r="Z214" s="4"/>
    </row>
    <row r="215" spans="1:26" ht="14.25" customHeight="1" x14ac:dyDescent="0.3">
      <c r="A215" s="35"/>
      <c r="B215" s="4"/>
      <c r="C215" s="4"/>
      <c r="D215" s="4"/>
      <c r="E215" s="4"/>
      <c r="F215" s="4"/>
      <c r="G215" s="4"/>
      <c r="H215" s="4"/>
      <c r="I215" s="4"/>
      <c r="J215" s="18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4"/>
      <c r="X215" s="4"/>
      <c r="Y215" s="4"/>
      <c r="Z215" s="4"/>
    </row>
    <row r="216" spans="1:26" ht="14.25" customHeight="1" x14ac:dyDescent="0.3">
      <c r="A216" s="35"/>
      <c r="B216" s="4"/>
      <c r="C216" s="4"/>
      <c r="D216" s="4"/>
      <c r="E216" s="4"/>
      <c r="F216" s="4"/>
      <c r="G216" s="4"/>
      <c r="H216" s="4"/>
      <c r="I216" s="4"/>
      <c r="J216" s="18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4"/>
      <c r="X216" s="4"/>
      <c r="Y216" s="4"/>
      <c r="Z216" s="4"/>
    </row>
    <row r="217" spans="1:26" ht="14.25" customHeight="1" x14ac:dyDescent="0.3">
      <c r="A217" s="35"/>
      <c r="B217" s="4"/>
      <c r="C217" s="4"/>
      <c r="D217" s="4"/>
      <c r="E217" s="4"/>
      <c r="F217" s="4"/>
      <c r="G217" s="4"/>
      <c r="H217" s="4"/>
      <c r="I217" s="4"/>
      <c r="J217" s="18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4"/>
      <c r="X217" s="4"/>
      <c r="Y217" s="4"/>
      <c r="Z217" s="4"/>
    </row>
    <row r="218" spans="1:26" ht="14.25" customHeight="1" x14ac:dyDescent="0.3">
      <c r="A218" s="35"/>
      <c r="B218" s="4"/>
      <c r="C218" s="4"/>
      <c r="D218" s="4"/>
      <c r="E218" s="4"/>
      <c r="F218" s="4"/>
      <c r="G218" s="4"/>
      <c r="H218" s="4"/>
      <c r="I218" s="4"/>
      <c r="J218" s="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4"/>
      <c r="X218" s="4"/>
      <c r="Y218" s="4"/>
      <c r="Z218" s="4"/>
    </row>
    <row r="219" spans="1:26" ht="14.25" customHeight="1" x14ac:dyDescent="0.3">
      <c r="A219" s="35"/>
      <c r="B219" s="4"/>
      <c r="C219" s="4"/>
      <c r="D219" s="4"/>
      <c r="E219" s="4"/>
      <c r="F219" s="4"/>
      <c r="G219" s="4"/>
      <c r="H219" s="4"/>
      <c r="I219" s="4"/>
      <c r="J219" s="18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4"/>
      <c r="X219" s="4"/>
      <c r="Y219" s="4"/>
      <c r="Z219" s="4"/>
    </row>
    <row r="220" spans="1:26" ht="14.25" customHeight="1" x14ac:dyDescent="0.3">
      <c r="A220" s="35"/>
      <c r="B220" s="4"/>
      <c r="C220" s="4"/>
      <c r="D220" s="4"/>
      <c r="E220" s="4"/>
      <c r="F220" s="4"/>
      <c r="G220" s="4"/>
      <c r="H220" s="4"/>
      <c r="I220" s="4"/>
      <c r="J220" s="18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4"/>
      <c r="X220" s="4"/>
      <c r="Y220" s="4"/>
      <c r="Z220" s="4"/>
    </row>
    <row r="221" spans="1:26" ht="14.25" customHeight="1" x14ac:dyDescent="0.3">
      <c r="A221" s="35"/>
      <c r="B221" s="4"/>
      <c r="C221" s="4"/>
      <c r="D221" s="4"/>
      <c r="E221" s="4"/>
      <c r="F221" s="4"/>
      <c r="G221" s="4"/>
      <c r="H221" s="4"/>
      <c r="I221" s="4"/>
      <c r="J221" s="18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4"/>
      <c r="X221" s="4"/>
      <c r="Y221" s="4"/>
      <c r="Z221" s="4"/>
    </row>
    <row r="222" spans="1:26" ht="14.25" customHeight="1" x14ac:dyDescent="0.3">
      <c r="A222" s="35"/>
      <c r="B222" s="4"/>
      <c r="C222" s="4"/>
      <c r="D222" s="4"/>
      <c r="E222" s="4"/>
      <c r="F222" s="4"/>
      <c r="G222" s="4"/>
      <c r="H222" s="4"/>
      <c r="I222" s="4"/>
      <c r="J222" s="18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4"/>
      <c r="X222" s="4"/>
      <c r="Y222" s="4"/>
      <c r="Z222" s="4"/>
    </row>
    <row r="223" spans="1:26" ht="14.25" customHeight="1" x14ac:dyDescent="0.3">
      <c r="A223" s="35"/>
      <c r="B223" s="4"/>
      <c r="C223" s="4"/>
      <c r="D223" s="4"/>
      <c r="E223" s="4"/>
      <c r="F223" s="4"/>
      <c r="G223" s="4"/>
      <c r="H223" s="4"/>
      <c r="I223" s="4"/>
      <c r="J223" s="18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4"/>
      <c r="X223" s="4"/>
      <c r="Y223" s="4"/>
      <c r="Z223" s="4"/>
    </row>
    <row r="224" spans="1:26" ht="14.25" customHeight="1" x14ac:dyDescent="0.3">
      <c r="A224" s="35"/>
      <c r="B224" s="4"/>
      <c r="C224" s="4"/>
      <c r="D224" s="4"/>
      <c r="E224" s="4"/>
      <c r="F224" s="4"/>
      <c r="G224" s="4"/>
      <c r="H224" s="4"/>
      <c r="I224" s="4"/>
      <c r="J224" s="18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4"/>
      <c r="X224" s="4"/>
      <c r="Y224" s="4"/>
      <c r="Z224" s="4"/>
    </row>
    <row r="225" spans="1:26" ht="14.25" customHeight="1" x14ac:dyDescent="0.3">
      <c r="A225" s="35"/>
      <c r="B225" s="4"/>
      <c r="C225" s="4"/>
      <c r="D225" s="4"/>
      <c r="E225" s="4"/>
      <c r="F225" s="4"/>
      <c r="G225" s="4"/>
      <c r="H225" s="4"/>
      <c r="I225" s="4"/>
      <c r="J225" s="18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4"/>
      <c r="X225" s="4"/>
      <c r="Y225" s="4"/>
      <c r="Z225" s="4"/>
    </row>
    <row r="226" spans="1:26" ht="14.25" customHeight="1" x14ac:dyDescent="0.3">
      <c r="A226" s="35"/>
      <c r="B226" s="4"/>
      <c r="C226" s="4"/>
      <c r="D226" s="4"/>
      <c r="E226" s="4"/>
      <c r="F226" s="4"/>
      <c r="G226" s="4"/>
      <c r="H226" s="4"/>
      <c r="I226" s="4"/>
      <c r="J226" s="18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4"/>
      <c r="X226" s="4"/>
      <c r="Y226" s="4"/>
      <c r="Z226" s="4"/>
    </row>
    <row r="227" spans="1:26" ht="14.25" customHeight="1" x14ac:dyDescent="0.3">
      <c r="A227" s="35"/>
      <c r="B227" s="4"/>
      <c r="C227" s="4"/>
      <c r="D227" s="4"/>
      <c r="E227" s="4"/>
      <c r="F227" s="4"/>
      <c r="G227" s="4"/>
      <c r="H227" s="4"/>
      <c r="I227" s="4"/>
      <c r="J227" s="18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4"/>
      <c r="X227" s="4"/>
      <c r="Y227" s="4"/>
      <c r="Z227" s="4"/>
    </row>
    <row r="228" spans="1:26" ht="14.25" customHeight="1" x14ac:dyDescent="0.3">
      <c r="A228" s="35"/>
      <c r="B228" s="4"/>
      <c r="C228" s="4"/>
      <c r="D228" s="4"/>
      <c r="E228" s="4"/>
      <c r="F228" s="4"/>
      <c r="G228" s="4"/>
      <c r="H228" s="4"/>
      <c r="I228" s="4"/>
      <c r="J228" s="1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4"/>
      <c r="X228" s="4"/>
      <c r="Y228" s="4"/>
      <c r="Z228" s="4"/>
    </row>
    <row r="229" spans="1:26" ht="14.25" customHeight="1" x14ac:dyDescent="0.3">
      <c r="A229" s="35"/>
      <c r="B229" s="4"/>
      <c r="C229" s="4"/>
      <c r="D229" s="4"/>
      <c r="E229" s="4"/>
      <c r="F229" s="4"/>
      <c r="G229" s="4"/>
      <c r="H229" s="4"/>
      <c r="I229" s="4"/>
      <c r="J229" s="18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4"/>
      <c r="X229" s="4"/>
      <c r="Y229" s="4"/>
      <c r="Z229" s="4"/>
    </row>
    <row r="230" spans="1:26" ht="14.25" customHeight="1" x14ac:dyDescent="0.3">
      <c r="A230" s="35"/>
      <c r="B230" s="4"/>
      <c r="C230" s="4"/>
      <c r="D230" s="4"/>
      <c r="E230" s="4"/>
      <c r="F230" s="4"/>
      <c r="G230" s="4"/>
      <c r="H230" s="4"/>
      <c r="I230" s="4"/>
      <c r="J230" s="18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4"/>
      <c r="X230" s="4"/>
      <c r="Y230" s="4"/>
      <c r="Z230" s="4"/>
    </row>
    <row r="231" spans="1:26" ht="14.25" customHeight="1" x14ac:dyDescent="0.3">
      <c r="A231" s="35"/>
      <c r="B231" s="4"/>
      <c r="C231" s="4"/>
      <c r="D231" s="4"/>
      <c r="E231" s="4"/>
      <c r="F231" s="4"/>
      <c r="G231" s="4"/>
      <c r="H231" s="4"/>
      <c r="I231" s="4"/>
      <c r="J231" s="18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4"/>
      <c r="X231" s="4"/>
      <c r="Y231" s="4"/>
      <c r="Z231" s="4"/>
    </row>
    <row r="232" spans="1:26" ht="14.25" customHeight="1" x14ac:dyDescent="0.3">
      <c r="A232" s="35"/>
      <c r="B232" s="4"/>
      <c r="C232" s="4"/>
      <c r="D232" s="4"/>
      <c r="E232" s="4"/>
      <c r="F232" s="4"/>
      <c r="G232" s="4"/>
      <c r="H232" s="4"/>
      <c r="I232" s="4"/>
      <c r="J232" s="18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4"/>
      <c r="X232" s="4"/>
      <c r="Y232" s="4"/>
      <c r="Z232" s="4"/>
    </row>
    <row r="233" spans="1:26" ht="14.25" customHeight="1" x14ac:dyDescent="0.3">
      <c r="A233" s="35"/>
      <c r="B233" s="4"/>
      <c r="C233" s="4"/>
      <c r="D233" s="4"/>
      <c r="E233" s="4"/>
      <c r="F233" s="4"/>
      <c r="G233" s="4"/>
      <c r="H233" s="4"/>
      <c r="I233" s="4"/>
      <c r="J233" s="18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4"/>
      <c r="X233" s="4"/>
      <c r="Y233" s="4"/>
      <c r="Z233" s="4"/>
    </row>
    <row r="234" spans="1:26" ht="14.25" customHeight="1" x14ac:dyDescent="0.3">
      <c r="A234" s="35"/>
      <c r="B234" s="4"/>
      <c r="C234" s="4"/>
      <c r="D234" s="4"/>
      <c r="E234" s="4"/>
      <c r="F234" s="4"/>
      <c r="G234" s="4"/>
      <c r="H234" s="4"/>
      <c r="I234" s="4"/>
      <c r="J234" s="18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4"/>
      <c r="X234" s="4"/>
      <c r="Y234" s="4"/>
      <c r="Z234" s="4"/>
    </row>
    <row r="235" spans="1:26" ht="14.25" customHeight="1" x14ac:dyDescent="0.3">
      <c r="A235" s="35"/>
      <c r="B235" s="4"/>
      <c r="C235" s="4"/>
      <c r="D235" s="4"/>
      <c r="E235" s="4"/>
      <c r="F235" s="4"/>
      <c r="G235" s="4"/>
      <c r="H235" s="4"/>
      <c r="I235" s="4"/>
      <c r="J235" s="18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4"/>
      <c r="X235" s="4"/>
      <c r="Y235" s="4"/>
      <c r="Z235" s="4"/>
    </row>
    <row r="236" spans="1:26" ht="14.25" customHeight="1" x14ac:dyDescent="0.3">
      <c r="A236" s="35"/>
      <c r="B236" s="4"/>
      <c r="C236" s="4"/>
      <c r="D236" s="4"/>
      <c r="E236" s="4"/>
      <c r="F236" s="4"/>
      <c r="G236" s="4"/>
      <c r="H236" s="4"/>
      <c r="I236" s="4"/>
      <c r="J236" s="18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4"/>
      <c r="X236" s="4"/>
      <c r="Y236" s="4"/>
      <c r="Z236" s="4"/>
    </row>
    <row r="237" spans="1:26" ht="14.25" customHeight="1" x14ac:dyDescent="0.3">
      <c r="A237" s="35"/>
      <c r="B237" s="4"/>
      <c r="C237" s="4"/>
      <c r="D237" s="4"/>
      <c r="E237" s="4"/>
      <c r="F237" s="4"/>
      <c r="G237" s="4"/>
      <c r="H237" s="4"/>
      <c r="I237" s="4"/>
      <c r="J237" s="18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4"/>
      <c r="X237" s="4"/>
      <c r="Y237" s="4"/>
      <c r="Z237" s="4"/>
    </row>
    <row r="238" spans="1:26" ht="14.25" customHeight="1" x14ac:dyDescent="0.3">
      <c r="A238" s="35"/>
      <c r="B238" s="4"/>
      <c r="C238" s="4"/>
      <c r="D238" s="4"/>
      <c r="E238" s="4"/>
      <c r="F238" s="4"/>
      <c r="G238" s="4"/>
      <c r="H238" s="4"/>
      <c r="I238" s="4"/>
      <c r="J238" s="1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4"/>
      <c r="X238" s="4"/>
      <c r="Y238" s="4"/>
      <c r="Z238" s="4"/>
    </row>
    <row r="239" spans="1:26" ht="14.25" customHeight="1" x14ac:dyDescent="0.3">
      <c r="A239" s="35"/>
      <c r="B239" s="4"/>
      <c r="C239" s="4"/>
      <c r="D239" s="4"/>
      <c r="E239" s="4"/>
      <c r="F239" s="4"/>
      <c r="G239" s="4"/>
      <c r="H239" s="4"/>
      <c r="I239" s="4"/>
      <c r="J239" s="18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4"/>
      <c r="X239" s="4"/>
      <c r="Y239" s="4"/>
      <c r="Z239" s="4"/>
    </row>
    <row r="240" spans="1:26" ht="14.25" customHeight="1" x14ac:dyDescent="0.3">
      <c r="A240" s="35"/>
      <c r="B240" s="4"/>
      <c r="C240" s="4"/>
      <c r="D240" s="4"/>
      <c r="E240" s="4"/>
      <c r="F240" s="4"/>
      <c r="G240" s="4"/>
      <c r="H240" s="4"/>
      <c r="I240" s="4"/>
      <c r="J240" s="18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4"/>
      <c r="X240" s="4"/>
      <c r="Y240" s="4"/>
      <c r="Z240" s="4"/>
    </row>
    <row r="241" spans="1:26" ht="14.25" customHeight="1" x14ac:dyDescent="0.3">
      <c r="A241" s="35"/>
      <c r="B241" s="4"/>
      <c r="C241" s="4"/>
      <c r="D241" s="4"/>
      <c r="E241" s="4"/>
      <c r="F241" s="4"/>
      <c r="G241" s="4"/>
      <c r="H241" s="4"/>
      <c r="I241" s="4"/>
      <c r="J241" s="18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4"/>
      <c r="X241" s="4"/>
      <c r="Y241" s="4"/>
      <c r="Z241" s="4"/>
    </row>
    <row r="242" spans="1:26" ht="14.25" customHeight="1" x14ac:dyDescent="0.3">
      <c r="A242" s="35"/>
      <c r="B242" s="4"/>
      <c r="C242" s="4"/>
      <c r="D242" s="4"/>
      <c r="E242" s="4"/>
      <c r="F242" s="4"/>
      <c r="G242" s="4"/>
      <c r="H242" s="4"/>
      <c r="I242" s="4"/>
      <c r="J242" s="18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4"/>
      <c r="X242" s="4"/>
      <c r="Y242" s="4"/>
      <c r="Z242" s="4"/>
    </row>
    <row r="243" spans="1:26" ht="14.25" customHeight="1" x14ac:dyDescent="0.3">
      <c r="A243" s="35"/>
      <c r="B243" s="4"/>
      <c r="C243" s="4"/>
      <c r="D243" s="4"/>
      <c r="E243" s="4"/>
      <c r="F243" s="4"/>
      <c r="G243" s="4"/>
      <c r="H243" s="4"/>
      <c r="I243" s="4"/>
      <c r="J243" s="18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4"/>
      <c r="X243" s="4"/>
      <c r="Y243" s="4"/>
      <c r="Z243" s="4"/>
    </row>
    <row r="244" spans="1:26" ht="14.25" customHeight="1" x14ac:dyDescent="0.3">
      <c r="A244" s="35"/>
      <c r="B244" s="4"/>
      <c r="C244" s="4"/>
      <c r="D244" s="4"/>
      <c r="E244" s="4"/>
      <c r="F244" s="4"/>
      <c r="G244" s="4"/>
      <c r="H244" s="4"/>
      <c r="I244" s="4"/>
      <c r="J244" s="18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4"/>
      <c r="X244" s="4"/>
      <c r="Y244" s="4"/>
      <c r="Z244" s="4"/>
    </row>
    <row r="245" spans="1:26" ht="14.25" customHeight="1" x14ac:dyDescent="0.3">
      <c r="A245" s="35"/>
      <c r="B245" s="4"/>
      <c r="C245" s="4"/>
      <c r="D245" s="4"/>
      <c r="E245" s="4"/>
      <c r="F245" s="4"/>
      <c r="G245" s="4"/>
      <c r="H245" s="4"/>
      <c r="I245" s="4"/>
      <c r="J245" s="18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4"/>
      <c r="X245" s="4"/>
      <c r="Y245" s="4"/>
      <c r="Z245" s="4"/>
    </row>
    <row r="246" spans="1:26" ht="14.25" customHeight="1" x14ac:dyDescent="0.3">
      <c r="A246" s="35"/>
      <c r="B246" s="4"/>
      <c r="C246" s="4"/>
      <c r="D246" s="4"/>
      <c r="E246" s="4"/>
      <c r="F246" s="4"/>
      <c r="G246" s="4"/>
      <c r="H246" s="4"/>
      <c r="I246" s="4"/>
      <c r="J246" s="18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4"/>
      <c r="X246" s="4"/>
      <c r="Y246" s="4"/>
      <c r="Z246" s="4"/>
    </row>
    <row r="247" spans="1:26" ht="14.25" customHeight="1" x14ac:dyDescent="0.3">
      <c r="A247" s="35"/>
      <c r="B247" s="4"/>
      <c r="C247" s="4"/>
      <c r="D247" s="4"/>
      <c r="E247" s="4"/>
      <c r="F247" s="4"/>
      <c r="G247" s="4"/>
      <c r="H247" s="4"/>
      <c r="I247" s="4"/>
      <c r="J247" s="18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4"/>
      <c r="X247" s="4"/>
      <c r="Y247" s="4"/>
      <c r="Z247" s="4"/>
    </row>
    <row r="248" spans="1:26" ht="14.25" customHeight="1" x14ac:dyDescent="0.3">
      <c r="A248" s="35"/>
      <c r="B248" s="4"/>
      <c r="C248" s="4"/>
      <c r="D248" s="4"/>
      <c r="E248" s="4"/>
      <c r="F248" s="4"/>
      <c r="G248" s="4"/>
      <c r="H248" s="4"/>
      <c r="I248" s="4"/>
      <c r="J248" s="1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4"/>
      <c r="X248" s="4"/>
      <c r="Y248" s="4"/>
      <c r="Z248" s="4"/>
    </row>
    <row r="249" spans="1:26" ht="14.25" customHeight="1" x14ac:dyDescent="0.3">
      <c r="A249" s="35"/>
      <c r="B249" s="4"/>
      <c r="C249" s="4"/>
      <c r="D249" s="4"/>
      <c r="E249" s="4"/>
      <c r="F249" s="4"/>
      <c r="G249" s="4"/>
      <c r="H249" s="4"/>
      <c r="I249" s="4"/>
      <c r="J249" s="18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4"/>
      <c r="X249" s="4"/>
      <c r="Y249" s="4"/>
      <c r="Z249" s="4"/>
    </row>
    <row r="250" spans="1:26" ht="14.25" customHeight="1" x14ac:dyDescent="0.3">
      <c r="A250" s="35"/>
      <c r="B250" s="4"/>
      <c r="C250" s="4"/>
      <c r="D250" s="4"/>
      <c r="E250" s="4"/>
      <c r="F250" s="4"/>
      <c r="G250" s="4"/>
      <c r="H250" s="4"/>
      <c r="I250" s="4"/>
      <c r="J250" s="18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4"/>
      <c r="X250" s="4"/>
      <c r="Y250" s="4"/>
      <c r="Z250" s="4"/>
    </row>
    <row r="251" spans="1:26" ht="14.25" customHeight="1" x14ac:dyDescent="0.3">
      <c r="A251" s="35"/>
      <c r="B251" s="4"/>
      <c r="C251" s="4"/>
      <c r="D251" s="4"/>
      <c r="E251" s="4"/>
      <c r="F251" s="4"/>
      <c r="G251" s="4"/>
      <c r="H251" s="4"/>
      <c r="I251" s="4"/>
      <c r="J251" s="18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4"/>
      <c r="X251" s="4"/>
      <c r="Y251" s="4"/>
      <c r="Z251" s="4"/>
    </row>
    <row r="252" spans="1:26" ht="14.25" customHeight="1" x14ac:dyDescent="0.3">
      <c r="A252" s="35"/>
      <c r="B252" s="4"/>
      <c r="C252" s="4"/>
      <c r="D252" s="4"/>
      <c r="E252" s="4"/>
      <c r="F252" s="4"/>
      <c r="G252" s="4"/>
      <c r="H252" s="4"/>
      <c r="I252" s="4"/>
      <c r="J252" s="18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4"/>
      <c r="X252" s="4"/>
      <c r="Y252" s="4"/>
      <c r="Z252" s="4"/>
    </row>
    <row r="253" spans="1:26" ht="14.25" customHeight="1" x14ac:dyDescent="0.3">
      <c r="A253" s="35"/>
      <c r="B253" s="4"/>
      <c r="C253" s="4"/>
      <c r="D253" s="4"/>
      <c r="E253" s="4"/>
      <c r="F253" s="4"/>
      <c r="G253" s="4"/>
      <c r="H253" s="4"/>
      <c r="I253" s="4"/>
      <c r="J253" s="18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4"/>
      <c r="X253" s="4"/>
      <c r="Y253" s="4"/>
      <c r="Z253" s="4"/>
    </row>
    <row r="254" spans="1:26" ht="14.25" customHeight="1" x14ac:dyDescent="0.3">
      <c r="A254" s="35"/>
      <c r="B254" s="4"/>
      <c r="C254" s="4"/>
      <c r="D254" s="4"/>
      <c r="E254" s="4"/>
      <c r="F254" s="4"/>
      <c r="G254" s="4"/>
      <c r="H254" s="4"/>
      <c r="I254" s="4"/>
      <c r="J254" s="18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4"/>
      <c r="X254" s="4"/>
      <c r="Y254" s="4"/>
      <c r="Z254" s="4"/>
    </row>
    <row r="255" spans="1:26" ht="14.25" customHeight="1" x14ac:dyDescent="0.3">
      <c r="A255" s="35"/>
      <c r="B255" s="4"/>
      <c r="C255" s="4"/>
      <c r="D255" s="4"/>
      <c r="E255" s="4"/>
      <c r="F255" s="4"/>
      <c r="G255" s="4"/>
      <c r="H255" s="4"/>
      <c r="I255" s="4"/>
      <c r="J255" s="18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4"/>
      <c r="X255" s="4"/>
      <c r="Y255" s="4"/>
      <c r="Z255" s="4"/>
    </row>
    <row r="256" spans="1:26" ht="14.25" customHeight="1" x14ac:dyDescent="0.3">
      <c r="A256" s="35"/>
      <c r="B256" s="4"/>
      <c r="C256" s="4"/>
      <c r="D256" s="4"/>
      <c r="E256" s="4"/>
      <c r="F256" s="4"/>
      <c r="G256" s="4"/>
      <c r="H256" s="4"/>
      <c r="I256" s="4"/>
      <c r="J256" s="18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4"/>
      <c r="X256" s="4"/>
      <c r="Y256" s="4"/>
      <c r="Z256" s="4"/>
    </row>
    <row r="257" spans="1:26" ht="14.25" customHeight="1" x14ac:dyDescent="0.3">
      <c r="A257" s="35"/>
      <c r="B257" s="4"/>
      <c r="C257" s="4"/>
      <c r="D257" s="4"/>
      <c r="E257" s="4"/>
      <c r="F257" s="4"/>
      <c r="G257" s="4"/>
      <c r="H257" s="4"/>
      <c r="I257" s="4"/>
      <c r="J257" s="18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4"/>
      <c r="X257" s="4"/>
      <c r="Y257" s="4"/>
      <c r="Z257" s="4"/>
    </row>
    <row r="258" spans="1:26" ht="14.25" customHeight="1" x14ac:dyDescent="0.3">
      <c r="A258" s="35"/>
      <c r="B258" s="4"/>
      <c r="C258" s="4"/>
      <c r="D258" s="4"/>
      <c r="E258" s="4"/>
      <c r="F258" s="4"/>
      <c r="G258" s="4"/>
      <c r="H258" s="4"/>
      <c r="I258" s="4"/>
      <c r="J258" s="1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4"/>
      <c r="X258" s="4"/>
      <c r="Y258" s="4"/>
      <c r="Z258" s="4"/>
    </row>
    <row r="259" spans="1:26" ht="14.25" customHeight="1" x14ac:dyDescent="0.3">
      <c r="A259" s="35"/>
      <c r="B259" s="4"/>
      <c r="C259" s="4"/>
      <c r="D259" s="4"/>
      <c r="E259" s="4"/>
      <c r="F259" s="4"/>
      <c r="G259" s="4"/>
      <c r="H259" s="4"/>
      <c r="I259" s="4"/>
      <c r="J259" s="18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4"/>
      <c r="X259" s="4"/>
      <c r="Y259" s="4"/>
      <c r="Z259" s="4"/>
    </row>
    <row r="260" spans="1:26" ht="14.25" customHeight="1" x14ac:dyDescent="0.3">
      <c r="A260" s="35"/>
      <c r="B260" s="4"/>
      <c r="C260" s="4"/>
      <c r="D260" s="4"/>
      <c r="E260" s="4"/>
      <c r="F260" s="4"/>
      <c r="G260" s="4"/>
      <c r="H260" s="4"/>
      <c r="I260" s="4"/>
      <c r="J260" s="18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4"/>
      <c r="X260" s="4"/>
      <c r="Y260" s="4"/>
      <c r="Z260" s="4"/>
    </row>
    <row r="261" spans="1:26" ht="14.25" customHeight="1" x14ac:dyDescent="0.3">
      <c r="A261" s="35"/>
      <c r="B261" s="4"/>
      <c r="C261" s="4"/>
      <c r="D261" s="4"/>
      <c r="E261" s="4"/>
      <c r="F261" s="4"/>
      <c r="G261" s="4"/>
      <c r="H261" s="4"/>
      <c r="I261" s="4"/>
      <c r="J261" s="18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4"/>
      <c r="X261" s="4"/>
      <c r="Y261" s="4"/>
      <c r="Z261" s="4"/>
    </row>
    <row r="262" spans="1:26" ht="14.25" customHeight="1" x14ac:dyDescent="0.3">
      <c r="A262" s="35"/>
      <c r="B262" s="4"/>
      <c r="C262" s="4"/>
      <c r="D262" s="4"/>
      <c r="E262" s="4"/>
      <c r="F262" s="4"/>
      <c r="G262" s="4"/>
      <c r="H262" s="4"/>
      <c r="I262" s="4"/>
      <c r="J262" s="18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4"/>
      <c r="X262" s="4"/>
      <c r="Y262" s="4"/>
      <c r="Z262" s="4"/>
    </row>
    <row r="263" spans="1:26" ht="14.25" customHeight="1" x14ac:dyDescent="0.3">
      <c r="A263" s="35"/>
      <c r="B263" s="4"/>
      <c r="C263" s="4"/>
      <c r="D263" s="4"/>
      <c r="E263" s="4"/>
      <c r="F263" s="4"/>
      <c r="G263" s="4"/>
      <c r="H263" s="4"/>
      <c r="I263" s="4"/>
      <c r="J263" s="18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4"/>
      <c r="X263" s="4"/>
      <c r="Y263" s="4"/>
      <c r="Z263" s="4"/>
    </row>
    <row r="264" spans="1:26" ht="14.25" customHeight="1" x14ac:dyDescent="0.3">
      <c r="A264" s="35"/>
      <c r="B264" s="4"/>
      <c r="C264" s="4"/>
      <c r="D264" s="4"/>
      <c r="E264" s="4"/>
      <c r="F264" s="4"/>
      <c r="G264" s="4"/>
      <c r="H264" s="4"/>
      <c r="I264" s="4"/>
      <c r="J264" s="18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4"/>
      <c r="X264" s="4"/>
      <c r="Y264" s="4"/>
      <c r="Z264" s="4"/>
    </row>
    <row r="265" spans="1:26" ht="14.25" customHeight="1" x14ac:dyDescent="0.3">
      <c r="A265" s="35"/>
      <c r="B265" s="4"/>
      <c r="C265" s="4"/>
      <c r="D265" s="4"/>
      <c r="E265" s="4"/>
      <c r="F265" s="4"/>
      <c r="G265" s="4"/>
      <c r="H265" s="4"/>
      <c r="I265" s="4"/>
      <c r="J265" s="18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4"/>
      <c r="X265" s="4"/>
      <c r="Y265" s="4"/>
      <c r="Z265" s="4"/>
    </row>
    <row r="266" spans="1:26" ht="14.25" customHeight="1" x14ac:dyDescent="0.3">
      <c r="A266" s="35"/>
      <c r="B266" s="4"/>
      <c r="C266" s="4"/>
      <c r="D266" s="4"/>
      <c r="E266" s="4"/>
      <c r="F266" s="4"/>
      <c r="G266" s="4"/>
      <c r="H266" s="4"/>
      <c r="I266" s="4"/>
      <c r="J266" s="18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4"/>
      <c r="X266" s="4"/>
      <c r="Y266" s="4"/>
      <c r="Z266" s="4"/>
    </row>
    <row r="267" spans="1:26" ht="14.25" customHeight="1" x14ac:dyDescent="0.3">
      <c r="A267" s="35"/>
      <c r="B267" s="4"/>
      <c r="C267" s="4"/>
      <c r="D267" s="4"/>
      <c r="E267" s="4"/>
      <c r="F267" s="4"/>
      <c r="G267" s="4"/>
      <c r="H267" s="4"/>
      <c r="I267" s="4"/>
      <c r="J267" s="18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4"/>
      <c r="X267" s="4"/>
      <c r="Y267" s="4"/>
      <c r="Z267" s="4"/>
    </row>
    <row r="268" spans="1:26" ht="14.25" customHeight="1" x14ac:dyDescent="0.3">
      <c r="A268" s="35"/>
      <c r="B268" s="4"/>
      <c r="C268" s="4"/>
      <c r="D268" s="4"/>
      <c r="E268" s="4"/>
      <c r="F268" s="4"/>
      <c r="G268" s="4"/>
      <c r="H268" s="4"/>
      <c r="I268" s="4"/>
      <c r="J268" s="1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4"/>
      <c r="X268" s="4"/>
      <c r="Y268" s="4"/>
      <c r="Z268" s="4"/>
    </row>
    <row r="269" spans="1:26" ht="14.25" customHeight="1" x14ac:dyDescent="0.3">
      <c r="A269" s="35"/>
      <c r="B269" s="4"/>
      <c r="C269" s="4"/>
      <c r="D269" s="4"/>
      <c r="E269" s="4"/>
      <c r="F269" s="4"/>
      <c r="G269" s="4"/>
      <c r="H269" s="4"/>
      <c r="I269" s="4"/>
      <c r="J269" s="18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4"/>
      <c r="X269" s="4"/>
      <c r="Y269" s="4"/>
      <c r="Z269" s="4"/>
    </row>
    <row r="270" spans="1:26" ht="14.25" customHeight="1" x14ac:dyDescent="0.3">
      <c r="A270" s="35"/>
      <c r="B270" s="4"/>
      <c r="C270" s="4"/>
      <c r="D270" s="4"/>
      <c r="E270" s="4"/>
      <c r="F270" s="4"/>
      <c r="G270" s="4"/>
      <c r="H270" s="4"/>
      <c r="I270" s="4"/>
      <c r="J270" s="18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4"/>
      <c r="X270" s="4"/>
      <c r="Y270" s="4"/>
      <c r="Z270" s="4"/>
    </row>
    <row r="271" spans="1:26" ht="14.25" customHeight="1" x14ac:dyDescent="0.3">
      <c r="A271" s="35"/>
      <c r="B271" s="4"/>
      <c r="C271" s="4"/>
      <c r="D271" s="4"/>
      <c r="E271" s="4"/>
      <c r="F271" s="4"/>
      <c r="G271" s="4"/>
      <c r="H271" s="4"/>
      <c r="I271" s="4"/>
      <c r="J271" s="18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4"/>
      <c r="X271" s="4"/>
      <c r="Y271" s="4"/>
      <c r="Z271" s="4"/>
    </row>
    <row r="272" spans="1:26" ht="14.25" customHeight="1" x14ac:dyDescent="0.3">
      <c r="A272" s="35"/>
      <c r="B272" s="4"/>
      <c r="C272" s="4"/>
      <c r="D272" s="4"/>
      <c r="E272" s="4"/>
      <c r="F272" s="4"/>
      <c r="G272" s="4"/>
      <c r="H272" s="4"/>
      <c r="I272" s="4"/>
      <c r="J272" s="18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4"/>
      <c r="X272" s="4"/>
      <c r="Y272" s="4"/>
      <c r="Z272" s="4"/>
    </row>
    <row r="273" spans="1:26" ht="14.25" customHeight="1" x14ac:dyDescent="0.3">
      <c r="A273" s="35"/>
      <c r="B273" s="4"/>
      <c r="C273" s="4"/>
      <c r="D273" s="4"/>
      <c r="E273" s="4"/>
      <c r="F273" s="4"/>
      <c r="G273" s="4"/>
      <c r="H273" s="4"/>
      <c r="I273" s="4"/>
      <c r="J273" s="18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4"/>
      <c r="X273" s="4"/>
      <c r="Y273" s="4"/>
      <c r="Z273" s="4"/>
    </row>
    <row r="274" spans="1:26" ht="14.25" customHeight="1" x14ac:dyDescent="0.3">
      <c r="A274" s="35"/>
      <c r="B274" s="4"/>
      <c r="C274" s="4"/>
      <c r="D274" s="4"/>
      <c r="E274" s="4"/>
      <c r="F274" s="4"/>
      <c r="G274" s="4"/>
      <c r="H274" s="4"/>
      <c r="I274" s="4"/>
      <c r="J274" s="18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4"/>
      <c r="X274" s="4"/>
      <c r="Y274" s="4"/>
      <c r="Z274" s="4"/>
    </row>
    <row r="275" spans="1:26" ht="14.25" customHeight="1" x14ac:dyDescent="0.3">
      <c r="A275" s="35"/>
      <c r="B275" s="4"/>
      <c r="C275" s="4"/>
      <c r="D275" s="4"/>
      <c r="E275" s="4"/>
      <c r="F275" s="4"/>
      <c r="G275" s="4"/>
      <c r="H275" s="4"/>
      <c r="I275" s="4"/>
      <c r="J275" s="18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4"/>
      <c r="X275" s="4"/>
      <c r="Y275" s="4"/>
      <c r="Z275" s="4"/>
    </row>
    <row r="276" spans="1:26" ht="14.25" customHeight="1" x14ac:dyDescent="0.3">
      <c r="A276" s="35"/>
      <c r="B276" s="4"/>
      <c r="C276" s="4"/>
      <c r="D276" s="4"/>
      <c r="E276" s="4"/>
      <c r="F276" s="4"/>
      <c r="G276" s="4"/>
      <c r="H276" s="4"/>
      <c r="I276" s="4"/>
      <c r="J276" s="18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4"/>
      <c r="X276" s="4"/>
      <c r="Y276" s="4"/>
      <c r="Z276" s="4"/>
    </row>
    <row r="277" spans="1:26" ht="14.25" customHeight="1" x14ac:dyDescent="0.3">
      <c r="A277" s="35"/>
      <c r="B277" s="4"/>
      <c r="C277" s="4"/>
      <c r="D277" s="4"/>
      <c r="E277" s="4"/>
      <c r="F277" s="4"/>
      <c r="G277" s="4"/>
      <c r="H277" s="4"/>
      <c r="I277" s="4"/>
      <c r="J277" s="18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4"/>
      <c r="X277" s="4"/>
      <c r="Y277" s="4"/>
      <c r="Z277" s="4"/>
    </row>
    <row r="278" spans="1:26" ht="14.25" customHeight="1" x14ac:dyDescent="0.3">
      <c r="A278" s="35"/>
      <c r="B278" s="4"/>
      <c r="C278" s="4"/>
      <c r="D278" s="4"/>
      <c r="E278" s="4"/>
      <c r="F278" s="4"/>
      <c r="G278" s="4"/>
      <c r="H278" s="4"/>
      <c r="I278" s="4"/>
      <c r="J278" s="1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4"/>
      <c r="X278" s="4"/>
      <c r="Y278" s="4"/>
      <c r="Z278" s="4"/>
    </row>
    <row r="279" spans="1:26" ht="14.25" customHeight="1" x14ac:dyDescent="0.3">
      <c r="A279" s="35"/>
      <c r="B279" s="4"/>
      <c r="C279" s="4"/>
      <c r="D279" s="4"/>
      <c r="E279" s="4"/>
      <c r="F279" s="4"/>
      <c r="G279" s="4"/>
      <c r="H279" s="4"/>
      <c r="I279" s="4"/>
      <c r="J279" s="18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4"/>
      <c r="X279" s="4"/>
      <c r="Y279" s="4"/>
      <c r="Z279" s="4"/>
    </row>
    <row r="280" spans="1:26" ht="14.25" customHeight="1" x14ac:dyDescent="0.3">
      <c r="A280" s="35"/>
      <c r="B280" s="4"/>
      <c r="C280" s="4"/>
      <c r="D280" s="4"/>
      <c r="E280" s="4"/>
      <c r="F280" s="4"/>
      <c r="G280" s="4"/>
      <c r="H280" s="4"/>
      <c r="I280" s="4"/>
      <c r="J280" s="18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4"/>
      <c r="X280" s="4"/>
      <c r="Y280" s="4"/>
      <c r="Z280" s="4"/>
    </row>
    <row r="281" spans="1:26" ht="14.25" customHeight="1" x14ac:dyDescent="0.3">
      <c r="A281" s="35"/>
      <c r="B281" s="4"/>
      <c r="C281" s="4"/>
      <c r="D281" s="4"/>
      <c r="E281" s="4"/>
      <c r="F281" s="4"/>
      <c r="G281" s="4"/>
      <c r="H281" s="4"/>
      <c r="I281" s="4"/>
      <c r="J281" s="18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4"/>
      <c r="X281" s="4"/>
      <c r="Y281" s="4"/>
      <c r="Z281" s="4"/>
    </row>
    <row r="282" spans="1:26" ht="14.25" customHeight="1" x14ac:dyDescent="0.3">
      <c r="A282" s="35"/>
      <c r="B282" s="4"/>
      <c r="C282" s="4"/>
      <c r="D282" s="4"/>
      <c r="E282" s="4"/>
      <c r="F282" s="4"/>
      <c r="G282" s="4"/>
      <c r="H282" s="4"/>
      <c r="I282" s="4"/>
      <c r="J282" s="18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4"/>
      <c r="X282" s="4"/>
      <c r="Y282" s="4"/>
      <c r="Z282" s="4"/>
    </row>
    <row r="283" spans="1:26" ht="14.25" customHeight="1" x14ac:dyDescent="0.3">
      <c r="A283" s="35"/>
      <c r="B283" s="4"/>
      <c r="C283" s="4"/>
      <c r="D283" s="4"/>
      <c r="E283" s="4"/>
      <c r="F283" s="4"/>
      <c r="G283" s="4"/>
      <c r="H283" s="4"/>
      <c r="I283" s="4"/>
      <c r="J283" s="18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4"/>
      <c r="X283" s="4"/>
      <c r="Y283" s="4"/>
      <c r="Z283" s="4"/>
    </row>
    <row r="284" spans="1:26" ht="14.25" customHeight="1" x14ac:dyDescent="0.3">
      <c r="A284" s="35"/>
      <c r="B284" s="4"/>
      <c r="C284" s="4"/>
      <c r="D284" s="4"/>
      <c r="E284" s="4"/>
      <c r="F284" s="4"/>
      <c r="G284" s="4"/>
      <c r="H284" s="4"/>
      <c r="I284" s="4"/>
      <c r="J284" s="18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4"/>
      <c r="X284" s="4"/>
      <c r="Y284" s="4"/>
      <c r="Z284" s="4"/>
    </row>
    <row r="285" spans="1:26" ht="14.25" customHeight="1" x14ac:dyDescent="0.3">
      <c r="A285" s="35"/>
      <c r="B285" s="4"/>
      <c r="C285" s="4"/>
      <c r="D285" s="4"/>
      <c r="E285" s="4"/>
      <c r="F285" s="4"/>
      <c r="G285" s="4"/>
      <c r="H285" s="4"/>
      <c r="I285" s="4"/>
      <c r="J285" s="18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4"/>
      <c r="X285" s="4"/>
      <c r="Y285" s="4"/>
      <c r="Z285" s="4"/>
    </row>
    <row r="286" spans="1:26" ht="14.25" customHeight="1" x14ac:dyDescent="0.3">
      <c r="A286" s="35"/>
      <c r="B286" s="4"/>
      <c r="C286" s="4"/>
      <c r="D286" s="4"/>
      <c r="E286" s="4"/>
      <c r="F286" s="4"/>
      <c r="G286" s="4"/>
      <c r="H286" s="4"/>
      <c r="I286" s="4"/>
      <c r="J286" s="18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4"/>
      <c r="X286" s="4"/>
      <c r="Y286" s="4"/>
      <c r="Z286" s="4"/>
    </row>
    <row r="287" spans="1:26" ht="14.25" customHeight="1" x14ac:dyDescent="0.3">
      <c r="A287" s="35"/>
      <c r="B287" s="4"/>
      <c r="C287" s="4"/>
      <c r="D287" s="4"/>
      <c r="E287" s="4"/>
      <c r="F287" s="4"/>
      <c r="G287" s="4"/>
      <c r="H287" s="4"/>
      <c r="I287" s="4"/>
      <c r="J287" s="18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4"/>
      <c r="X287" s="4"/>
      <c r="Y287" s="4"/>
      <c r="Z287" s="4"/>
    </row>
    <row r="288" spans="1:26" ht="14.25" customHeight="1" x14ac:dyDescent="0.3">
      <c r="A288" s="35"/>
      <c r="B288" s="4"/>
      <c r="C288" s="4"/>
      <c r="D288" s="4"/>
      <c r="E288" s="4"/>
      <c r="F288" s="4"/>
      <c r="G288" s="4"/>
      <c r="H288" s="4"/>
      <c r="I288" s="4"/>
      <c r="J288" s="18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4"/>
      <c r="X288" s="4"/>
      <c r="Y288" s="4"/>
      <c r="Z288" s="4"/>
    </row>
    <row r="289" spans="1:26" ht="14.25" customHeight="1" x14ac:dyDescent="0.3">
      <c r="A289" s="35"/>
      <c r="B289" s="4"/>
      <c r="C289" s="4"/>
      <c r="D289" s="4"/>
      <c r="E289" s="4"/>
      <c r="F289" s="4"/>
      <c r="G289" s="4"/>
      <c r="H289" s="4"/>
      <c r="I289" s="4"/>
      <c r="J289" s="18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4"/>
      <c r="X289" s="4"/>
      <c r="Y289" s="4"/>
      <c r="Z289" s="4"/>
    </row>
    <row r="290" spans="1:26" ht="14.25" customHeight="1" x14ac:dyDescent="0.3">
      <c r="A290" s="35"/>
      <c r="B290" s="4"/>
      <c r="C290" s="4"/>
      <c r="D290" s="4"/>
      <c r="E290" s="4"/>
      <c r="F290" s="4"/>
      <c r="G290" s="4"/>
      <c r="H290" s="4"/>
      <c r="I290" s="4"/>
      <c r="J290" s="18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4"/>
      <c r="X290" s="4"/>
      <c r="Y290" s="4"/>
      <c r="Z290" s="4"/>
    </row>
    <row r="291" spans="1:26" ht="14.25" customHeight="1" x14ac:dyDescent="0.3">
      <c r="A291" s="35"/>
      <c r="B291" s="4"/>
      <c r="C291" s="4"/>
      <c r="D291" s="4"/>
      <c r="E291" s="4"/>
      <c r="F291" s="4"/>
      <c r="G291" s="4"/>
      <c r="H291" s="4"/>
      <c r="I291" s="4"/>
      <c r="J291" s="18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4"/>
      <c r="X291" s="4"/>
      <c r="Y291" s="4"/>
      <c r="Z291" s="4"/>
    </row>
    <row r="292" spans="1:26" ht="14.25" customHeight="1" x14ac:dyDescent="0.3">
      <c r="A292" s="35"/>
      <c r="B292" s="4"/>
      <c r="C292" s="4"/>
      <c r="D292" s="4"/>
      <c r="E292" s="4"/>
      <c r="F292" s="4"/>
      <c r="G292" s="4"/>
      <c r="H292" s="4"/>
      <c r="I292" s="4"/>
      <c r="J292" s="18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4"/>
      <c r="X292" s="4"/>
      <c r="Y292" s="4"/>
      <c r="Z292" s="4"/>
    </row>
    <row r="293" spans="1:26" ht="14.25" customHeight="1" x14ac:dyDescent="0.3">
      <c r="A293" s="35"/>
      <c r="B293" s="4"/>
      <c r="C293" s="4"/>
      <c r="D293" s="4"/>
      <c r="E293" s="4"/>
      <c r="F293" s="4"/>
      <c r="G293" s="4"/>
      <c r="H293" s="4"/>
      <c r="I293" s="4"/>
      <c r="J293" s="18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4"/>
      <c r="X293" s="4"/>
      <c r="Y293" s="4"/>
      <c r="Z293" s="4"/>
    </row>
    <row r="294" spans="1:26" ht="14.25" customHeight="1" x14ac:dyDescent="0.3">
      <c r="A294" s="35"/>
      <c r="B294" s="4"/>
      <c r="C294" s="4"/>
      <c r="D294" s="4"/>
      <c r="E294" s="4"/>
      <c r="F294" s="4"/>
      <c r="G294" s="4"/>
      <c r="H294" s="4"/>
      <c r="I294" s="4"/>
      <c r="J294" s="18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4"/>
      <c r="X294" s="4"/>
      <c r="Y294" s="4"/>
      <c r="Z294" s="4"/>
    </row>
    <row r="295" spans="1:26" ht="14.25" customHeight="1" x14ac:dyDescent="0.3">
      <c r="A295" s="35"/>
      <c r="B295" s="4"/>
      <c r="C295" s="4"/>
      <c r="D295" s="4"/>
      <c r="E295" s="4"/>
      <c r="F295" s="4"/>
      <c r="G295" s="4"/>
      <c r="H295" s="4"/>
      <c r="I295" s="4"/>
      <c r="J295" s="18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4"/>
      <c r="X295" s="4"/>
      <c r="Y295" s="4"/>
      <c r="Z295" s="4"/>
    </row>
    <row r="296" spans="1:26" ht="14.25" customHeight="1" x14ac:dyDescent="0.3">
      <c r="A296" s="35"/>
      <c r="B296" s="4"/>
      <c r="C296" s="4"/>
      <c r="D296" s="4"/>
      <c r="E296" s="4"/>
      <c r="F296" s="4"/>
      <c r="G296" s="4"/>
      <c r="H296" s="4"/>
      <c r="I296" s="4"/>
      <c r="J296" s="18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4"/>
      <c r="X296" s="4"/>
      <c r="Y296" s="4"/>
      <c r="Z296" s="4"/>
    </row>
    <row r="297" spans="1:26" ht="14.25" customHeight="1" x14ac:dyDescent="0.3">
      <c r="A297" s="35"/>
      <c r="B297" s="4"/>
      <c r="C297" s="4"/>
      <c r="D297" s="4"/>
      <c r="E297" s="4"/>
      <c r="F297" s="4"/>
      <c r="G297" s="4"/>
      <c r="H297" s="4"/>
      <c r="I297" s="4"/>
      <c r="J297" s="18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4"/>
      <c r="X297" s="4"/>
      <c r="Y297" s="4"/>
      <c r="Z297" s="4"/>
    </row>
    <row r="298" spans="1:26" ht="14.25" customHeight="1" x14ac:dyDescent="0.3">
      <c r="A298" s="35"/>
      <c r="B298" s="4"/>
      <c r="C298" s="4"/>
      <c r="D298" s="4"/>
      <c r="E298" s="4"/>
      <c r="F298" s="4"/>
      <c r="G298" s="4"/>
      <c r="H298" s="4"/>
      <c r="I298" s="4"/>
      <c r="J298" s="18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4"/>
      <c r="X298" s="4"/>
      <c r="Y298" s="4"/>
      <c r="Z298" s="4"/>
    </row>
    <row r="299" spans="1:26" ht="14.25" customHeight="1" x14ac:dyDescent="0.3">
      <c r="A299" s="35"/>
      <c r="B299" s="4"/>
      <c r="C299" s="4"/>
      <c r="D299" s="4"/>
      <c r="E299" s="4"/>
      <c r="F299" s="4"/>
      <c r="G299" s="4"/>
      <c r="H299" s="4"/>
      <c r="I299" s="4"/>
      <c r="J299" s="18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4"/>
      <c r="X299" s="4"/>
      <c r="Y299" s="4"/>
      <c r="Z299" s="4"/>
    </row>
    <row r="300" spans="1:26" ht="14.25" customHeight="1" x14ac:dyDescent="0.3">
      <c r="A300" s="35"/>
      <c r="B300" s="4"/>
      <c r="C300" s="4"/>
      <c r="D300" s="4"/>
      <c r="E300" s="4"/>
      <c r="F300" s="4"/>
      <c r="G300" s="4"/>
      <c r="H300" s="4"/>
      <c r="I300" s="4"/>
      <c r="J300" s="18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4"/>
      <c r="X300" s="4"/>
      <c r="Y300" s="4"/>
      <c r="Z300" s="4"/>
    </row>
    <row r="301" spans="1:26" ht="14.25" customHeight="1" x14ac:dyDescent="0.3">
      <c r="A301" s="35"/>
      <c r="B301" s="4"/>
      <c r="C301" s="4"/>
      <c r="D301" s="4"/>
      <c r="E301" s="4"/>
      <c r="F301" s="4"/>
      <c r="G301" s="4"/>
      <c r="H301" s="4"/>
      <c r="I301" s="4"/>
      <c r="J301" s="18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4"/>
      <c r="X301" s="4"/>
      <c r="Y301" s="4"/>
      <c r="Z301" s="4"/>
    </row>
    <row r="302" spans="1:26" ht="14.25" customHeight="1" x14ac:dyDescent="0.3">
      <c r="A302" s="35"/>
      <c r="B302" s="4"/>
      <c r="C302" s="4"/>
      <c r="D302" s="4"/>
      <c r="E302" s="4"/>
      <c r="F302" s="4"/>
      <c r="G302" s="4"/>
      <c r="H302" s="4"/>
      <c r="I302" s="4"/>
      <c r="J302" s="18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4"/>
      <c r="X302" s="4"/>
      <c r="Y302" s="4"/>
      <c r="Z302" s="4"/>
    </row>
    <row r="303" spans="1:26" ht="14.25" customHeight="1" x14ac:dyDescent="0.3">
      <c r="A303" s="35"/>
      <c r="B303" s="4"/>
      <c r="C303" s="4"/>
      <c r="D303" s="4"/>
      <c r="E303" s="4"/>
      <c r="F303" s="4"/>
      <c r="G303" s="4"/>
      <c r="H303" s="4"/>
      <c r="I303" s="4"/>
      <c r="J303" s="18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4"/>
      <c r="X303" s="4"/>
      <c r="Y303" s="4"/>
      <c r="Z303" s="4"/>
    </row>
    <row r="304" spans="1:26" ht="14.25" customHeight="1" x14ac:dyDescent="0.3">
      <c r="A304" s="35"/>
      <c r="B304" s="4"/>
      <c r="C304" s="4"/>
      <c r="D304" s="4"/>
      <c r="E304" s="4"/>
      <c r="F304" s="4"/>
      <c r="G304" s="4"/>
      <c r="H304" s="4"/>
      <c r="I304" s="4"/>
      <c r="J304" s="18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4"/>
      <c r="X304" s="4"/>
      <c r="Y304" s="4"/>
      <c r="Z304" s="4"/>
    </row>
    <row r="305" spans="1:26" ht="14.25" customHeight="1" x14ac:dyDescent="0.3">
      <c r="A305" s="35"/>
      <c r="B305" s="4"/>
      <c r="C305" s="4"/>
      <c r="D305" s="4"/>
      <c r="E305" s="4"/>
      <c r="F305" s="4"/>
      <c r="G305" s="4"/>
      <c r="H305" s="4"/>
      <c r="I305" s="4"/>
      <c r="J305" s="18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4"/>
      <c r="X305" s="4"/>
      <c r="Y305" s="4"/>
      <c r="Z305" s="4"/>
    </row>
    <row r="306" spans="1:26" ht="14.25" customHeight="1" x14ac:dyDescent="0.3">
      <c r="A306" s="35"/>
      <c r="B306" s="4"/>
      <c r="C306" s="4"/>
      <c r="D306" s="4"/>
      <c r="E306" s="4"/>
      <c r="F306" s="4"/>
      <c r="G306" s="4"/>
      <c r="H306" s="4"/>
      <c r="I306" s="4"/>
      <c r="J306" s="18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4"/>
      <c r="X306" s="4"/>
      <c r="Y306" s="4"/>
      <c r="Z306" s="4"/>
    </row>
    <row r="307" spans="1:26" ht="14.25" customHeight="1" x14ac:dyDescent="0.3">
      <c r="A307" s="35"/>
      <c r="B307" s="4"/>
      <c r="C307" s="4"/>
      <c r="D307" s="4"/>
      <c r="E307" s="4"/>
      <c r="F307" s="4"/>
      <c r="G307" s="4"/>
      <c r="H307" s="4"/>
      <c r="I307" s="4"/>
      <c r="J307" s="18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4"/>
      <c r="X307" s="4"/>
      <c r="Y307" s="4"/>
      <c r="Z307" s="4"/>
    </row>
    <row r="308" spans="1:26" ht="14.25" customHeight="1" x14ac:dyDescent="0.3">
      <c r="A308" s="35"/>
      <c r="B308" s="4"/>
      <c r="C308" s="4"/>
      <c r="D308" s="4"/>
      <c r="E308" s="4"/>
      <c r="F308" s="4"/>
      <c r="G308" s="4"/>
      <c r="H308" s="4"/>
      <c r="I308" s="4"/>
      <c r="J308" s="18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4"/>
      <c r="X308" s="4"/>
      <c r="Y308" s="4"/>
      <c r="Z308" s="4"/>
    </row>
    <row r="309" spans="1:26" ht="14.25" customHeight="1" x14ac:dyDescent="0.3">
      <c r="A309" s="35"/>
      <c r="B309" s="4"/>
      <c r="C309" s="4"/>
      <c r="D309" s="4"/>
      <c r="E309" s="4"/>
      <c r="F309" s="4"/>
      <c r="G309" s="4"/>
      <c r="H309" s="4"/>
      <c r="I309" s="4"/>
      <c r="J309" s="18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4"/>
      <c r="X309" s="4"/>
      <c r="Y309" s="4"/>
      <c r="Z309" s="4"/>
    </row>
    <row r="310" spans="1:26" ht="14.25" customHeight="1" x14ac:dyDescent="0.3">
      <c r="A310" s="35"/>
      <c r="B310" s="4"/>
      <c r="C310" s="4"/>
      <c r="D310" s="4"/>
      <c r="E310" s="4"/>
      <c r="F310" s="4"/>
      <c r="G310" s="4"/>
      <c r="H310" s="4"/>
      <c r="I310" s="4"/>
      <c r="J310" s="18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4"/>
      <c r="X310" s="4"/>
      <c r="Y310" s="4"/>
      <c r="Z310" s="4"/>
    </row>
    <row r="311" spans="1:26" ht="14.25" customHeight="1" x14ac:dyDescent="0.3">
      <c r="A311" s="35"/>
      <c r="B311" s="4"/>
      <c r="C311" s="4"/>
      <c r="D311" s="4"/>
      <c r="E311" s="4"/>
      <c r="F311" s="4"/>
      <c r="G311" s="4"/>
      <c r="H311" s="4"/>
      <c r="I311" s="4"/>
      <c r="J311" s="18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4"/>
      <c r="X311" s="4"/>
      <c r="Y311" s="4"/>
      <c r="Z311" s="4"/>
    </row>
    <row r="312" spans="1:26" ht="14.25" customHeight="1" x14ac:dyDescent="0.3">
      <c r="A312" s="35"/>
      <c r="B312" s="4"/>
      <c r="C312" s="4"/>
      <c r="D312" s="4"/>
      <c r="E312" s="4"/>
      <c r="F312" s="4"/>
      <c r="G312" s="4"/>
      <c r="H312" s="4"/>
      <c r="I312" s="4"/>
      <c r="J312" s="18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4"/>
      <c r="X312" s="4"/>
      <c r="Y312" s="4"/>
      <c r="Z312" s="4"/>
    </row>
    <row r="313" spans="1:26" ht="14.25" customHeight="1" x14ac:dyDescent="0.3">
      <c r="A313" s="35"/>
      <c r="B313" s="4"/>
      <c r="C313" s="4"/>
      <c r="D313" s="4"/>
      <c r="E313" s="4"/>
      <c r="F313" s="4"/>
      <c r="G313" s="4"/>
      <c r="H313" s="4"/>
      <c r="I313" s="4"/>
      <c r="J313" s="18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4"/>
      <c r="X313" s="4"/>
      <c r="Y313" s="4"/>
      <c r="Z313" s="4"/>
    </row>
    <row r="314" spans="1:26" ht="14.25" customHeight="1" x14ac:dyDescent="0.3">
      <c r="A314" s="35"/>
      <c r="B314" s="4"/>
      <c r="C314" s="4"/>
      <c r="D314" s="4"/>
      <c r="E314" s="4"/>
      <c r="F314" s="4"/>
      <c r="G314" s="4"/>
      <c r="H314" s="4"/>
      <c r="I314" s="4"/>
      <c r="J314" s="18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4"/>
      <c r="X314" s="4"/>
      <c r="Y314" s="4"/>
      <c r="Z314" s="4"/>
    </row>
    <row r="315" spans="1:26" ht="14.25" customHeight="1" x14ac:dyDescent="0.3">
      <c r="A315" s="35"/>
      <c r="B315" s="4"/>
      <c r="C315" s="4"/>
      <c r="D315" s="4"/>
      <c r="E315" s="4"/>
      <c r="F315" s="4"/>
      <c r="G315" s="4"/>
      <c r="H315" s="4"/>
      <c r="I315" s="4"/>
      <c r="J315" s="18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4"/>
      <c r="X315" s="4"/>
      <c r="Y315" s="4"/>
      <c r="Z315" s="4"/>
    </row>
    <row r="316" spans="1:26" ht="14.25" customHeight="1" x14ac:dyDescent="0.3">
      <c r="A316" s="35"/>
      <c r="B316" s="4"/>
      <c r="C316" s="4"/>
      <c r="D316" s="4"/>
      <c r="E316" s="4"/>
      <c r="F316" s="4"/>
      <c r="G316" s="4"/>
      <c r="H316" s="4"/>
      <c r="I316" s="4"/>
      <c r="J316" s="18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4"/>
      <c r="X316" s="4"/>
      <c r="Y316" s="4"/>
      <c r="Z316" s="4"/>
    </row>
    <row r="317" spans="1:26" ht="14.25" customHeight="1" x14ac:dyDescent="0.3">
      <c r="A317" s="35"/>
      <c r="B317" s="4"/>
      <c r="C317" s="4"/>
      <c r="D317" s="4"/>
      <c r="E317" s="4"/>
      <c r="F317" s="4"/>
      <c r="G317" s="4"/>
      <c r="H317" s="4"/>
      <c r="I317" s="4"/>
      <c r="J317" s="18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4"/>
      <c r="X317" s="4"/>
      <c r="Y317" s="4"/>
      <c r="Z317" s="4"/>
    </row>
    <row r="318" spans="1:26" ht="14.25" customHeight="1" x14ac:dyDescent="0.3">
      <c r="A318" s="35"/>
      <c r="B318" s="4"/>
      <c r="C318" s="4"/>
      <c r="D318" s="4"/>
      <c r="E318" s="4"/>
      <c r="F318" s="4"/>
      <c r="G318" s="4"/>
      <c r="H318" s="4"/>
      <c r="I318" s="4"/>
      <c r="J318" s="18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4"/>
      <c r="X318" s="4"/>
      <c r="Y318" s="4"/>
      <c r="Z318" s="4"/>
    </row>
    <row r="319" spans="1:26" ht="14.25" customHeight="1" x14ac:dyDescent="0.3">
      <c r="A319" s="35"/>
      <c r="B319" s="4"/>
      <c r="C319" s="4"/>
      <c r="D319" s="4"/>
      <c r="E319" s="4"/>
      <c r="F319" s="4"/>
      <c r="G319" s="4"/>
      <c r="H319" s="4"/>
      <c r="I319" s="4"/>
      <c r="J319" s="18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4"/>
      <c r="X319" s="4"/>
      <c r="Y319" s="4"/>
      <c r="Z319" s="4"/>
    </row>
    <row r="320" spans="1:26" ht="14.25" customHeight="1" x14ac:dyDescent="0.3">
      <c r="A320" s="35"/>
      <c r="B320" s="4"/>
      <c r="C320" s="4"/>
      <c r="D320" s="4"/>
      <c r="E320" s="4"/>
      <c r="F320" s="4"/>
      <c r="G320" s="4"/>
      <c r="H320" s="4"/>
      <c r="I320" s="4"/>
      <c r="J320" s="18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4"/>
      <c r="X320" s="4"/>
      <c r="Y320" s="4"/>
      <c r="Z320" s="4"/>
    </row>
    <row r="321" spans="1:26" ht="14.25" customHeight="1" x14ac:dyDescent="0.3">
      <c r="A321" s="35"/>
      <c r="B321" s="4"/>
      <c r="C321" s="4"/>
      <c r="D321" s="4"/>
      <c r="E321" s="4"/>
      <c r="F321" s="4"/>
      <c r="G321" s="4"/>
      <c r="H321" s="4"/>
      <c r="I321" s="4"/>
      <c r="J321" s="18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4"/>
      <c r="X321" s="4"/>
      <c r="Y321" s="4"/>
      <c r="Z321" s="4"/>
    </row>
    <row r="322" spans="1:26" ht="14.25" customHeight="1" x14ac:dyDescent="0.3">
      <c r="A322" s="35"/>
      <c r="B322" s="4"/>
      <c r="C322" s="4"/>
      <c r="D322" s="4"/>
      <c r="E322" s="4"/>
      <c r="F322" s="4"/>
      <c r="G322" s="4"/>
      <c r="H322" s="4"/>
      <c r="I322" s="4"/>
      <c r="J322" s="18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4"/>
      <c r="X322" s="4"/>
      <c r="Y322" s="4"/>
      <c r="Z322" s="4"/>
    </row>
    <row r="323" spans="1:26" ht="14.25" customHeight="1" x14ac:dyDescent="0.3">
      <c r="A323" s="35"/>
      <c r="B323" s="4"/>
      <c r="C323" s="4"/>
      <c r="D323" s="4"/>
      <c r="E323" s="4"/>
      <c r="F323" s="4"/>
      <c r="G323" s="4"/>
      <c r="H323" s="4"/>
      <c r="I323" s="4"/>
      <c r="J323" s="18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4"/>
      <c r="X323" s="4"/>
      <c r="Y323" s="4"/>
      <c r="Z323" s="4"/>
    </row>
    <row r="324" spans="1:26" ht="14.25" customHeight="1" x14ac:dyDescent="0.3">
      <c r="A324" s="35"/>
      <c r="B324" s="4"/>
      <c r="C324" s="4"/>
      <c r="D324" s="4"/>
      <c r="E324" s="4"/>
      <c r="F324" s="4"/>
      <c r="G324" s="4"/>
      <c r="H324" s="4"/>
      <c r="I324" s="4"/>
      <c r="J324" s="18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4"/>
      <c r="X324" s="4"/>
      <c r="Y324" s="4"/>
      <c r="Z324" s="4"/>
    </row>
    <row r="325" spans="1:26" ht="14.25" customHeight="1" x14ac:dyDescent="0.3">
      <c r="A325" s="35"/>
      <c r="B325" s="4"/>
      <c r="C325" s="4"/>
      <c r="D325" s="4"/>
      <c r="E325" s="4"/>
      <c r="F325" s="4"/>
      <c r="G325" s="4"/>
      <c r="H325" s="4"/>
      <c r="I325" s="4"/>
      <c r="J325" s="18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4"/>
      <c r="X325" s="4"/>
      <c r="Y325" s="4"/>
      <c r="Z325" s="4"/>
    </row>
    <row r="326" spans="1:26" ht="14.25" customHeight="1" x14ac:dyDescent="0.3">
      <c r="A326" s="35"/>
      <c r="B326" s="4"/>
      <c r="C326" s="4"/>
      <c r="D326" s="4"/>
      <c r="E326" s="4"/>
      <c r="F326" s="4"/>
      <c r="G326" s="4"/>
      <c r="H326" s="4"/>
      <c r="I326" s="4"/>
      <c r="J326" s="18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4"/>
      <c r="X326" s="4"/>
      <c r="Y326" s="4"/>
      <c r="Z326" s="4"/>
    </row>
    <row r="327" spans="1:26" ht="14.25" customHeight="1" x14ac:dyDescent="0.3">
      <c r="A327" s="35"/>
      <c r="B327" s="4"/>
      <c r="C327" s="4"/>
      <c r="D327" s="4"/>
      <c r="E327" s="4"/>
      <c r="F327" s="4"/>
      <c r="G327" s="4"/>
      <c r="H327" s="4"/>
      <c r="I327" s="4"/>
      <c r="J327" s="18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4"/>
      <c r="X327" s="4"/>
      <c r="Y327" s="4"/>
      <c r="Z327" s="4"/>
    </row>
    <row r="328" spans="1:26" ht="14.25" customHeight="1" x14ac:dyDescent="0.3">
      <c r="A328" s="35"/>
      <c r="B328" s="4"/>
      <c r="C328" s="4"/>
      <c r="D328" s="4"/>
      <c r="E328" s="4"/>
      <c r="F328" s="4"/>
      <c r="G328" s="4"/>
      <c r="H328" s="4"/>
      <c r="I328" s="4"/>
      <c r="J328" s="18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4"/>
      <c r="X328" s="4"/>
      <c r="Y328" s="4"/>
      <c r="Z328" s="4"/>
    </row>
    <row r="329" spans="1:26" ht="14.25" customHeight="1" x14ac:dyDescent="0.3">
      <c r="A329" s="35"/>
      <c r="B329" s="4"/>
      <c r="C329" s="4"/>
      <c r="D329" s="4"/>
      <c r="E329" s="4"/>
      <c r="F329" s="4"/>
      <c r="G329" s="4"/>
      <c r="H329" s="4"/>
      <c r="I329" s="4"/>
      <c r="J329" s="18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4"/>
      <c r="X329" s="4"/>
      <c r="Y329" s="4"/>
      <c r="Z329" s="4"/>
    </row>
    <row r="330" spans="1:26" ht="14.25" customHeight="1" x14ac:dyDescent="0.3">
      <c r="A330" s="35"/>
      <c r="B330" s="4"/>
      <c r="C330" s="4"/>
      <c r="D330" s="4"/>
      <c r="E330" s="4"/>
      <c r="F330" s="4"/>
      <c r="G330" s="4"/>
      <c r="H330" s="4"/>
      <c r="I330" s="4"/>
      <c r="J330" s="18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4"/>
      <c r="X330" s="4"/>
      <c r="Y330" s="4"/>
      <c r="Z330" s="4"/>
    </row>
    <row r="331" spans="1:26" ht="14.25" customHeight="1" x14ac:dyDescent="0.3">
      <c r="A331" s="35"/>
      <c r="B331" s="4"/>
      <c r="C331" s="4"/>
      <c r="D331" s="4"/>
      <c r="E331" s="4"/>
      <c r="F331" s="4"/>
      <c r="G331" s="4"/>
      <c r="H331" s="4"/>
      <c r="I331" s="4"/>
      <c r="J331" s="18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4"/>
      <c r="X331" s="4"/>
      <c r="Y331" s="4"/>
      <c r="Z331" s="4"/>
    </row>
    <row r="332" spans="1:26" ht="14.25" customHeight="1" x14ac:dyDescent="0.3">
      <c r="A332" s="35"/>
      <c r="B332" s="4"/>
      <c r="C332" s="4"/>
      <c r="D332" s="4"/>
      <c r="E332" s="4"/>
      <c r="F332" s="4"/>
      <c r="G332" s="4"/>
      <c r="H332" s="4"/>
      <c r="I332" s="4"/>
      <c r="J332" s="18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4"/>
      <c r="X332" s="4"/>
      <c r="Y332" s="4"/>
      <c r="Z332" s="4"/>
    </row>
    <row r="333" spans="1:26" ht="14.25" customHeight="1" x14ac:dyDescent="0.3">
      <c r="A333" s="35"/>
      <c r="B333" s="4"/>
      <c r="C333" s="4"/>
      <c r="D333" s="4"/>
      <c r="E333" s="4"/>
      <c r="F333" s="4"/>
      <c r="G333" s="4"/>
      <c r="H333" s="4"/>
      <c r="I333" s="4"/>
      <c r="J333" s="18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4"/>
      <c r="X333" s="4"/>
      <c r="Y333" s="4"/>
      <c r="Z333" s="4"/>
    </row>
    <row r="334" spans="1:26" ht="14.25" customHeight="1" x14ac:dyDescent="0.3">
      <c r="A334" s="35"/>
      <c r="B334" s="4"/>
      <c r="C334" s="4"/>
      <c r="D334" s="4"/>
      <c r="E334" s="4"/>
      <c r="F334" s="4"/>
      <c r="G334" s="4"/>
      <c r="H334" s="4"/>
      <c r="I334" s="4"/>
      <c r="J334" s="18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4"/>
      <c r="X334" s="4"/>
      <c r="Y334" s="4"/>
      <c r="Z334" s="4"/>
    </row>
    <row r="335" spans="1:26" ht="14.25" customHeight="1" x14ac:dyDescent="0.3">
      <c r="A335" s="35"/>
      <c r="B335" s="4"/>
      <c r="C335" s="4"/>
      <c r="D335" s="4"/>
      <c r="E335" s="4"/>
      <c r="F335" s="4"/>
      <c r="G335" s="4"/>
      <c r="H335" s="4"/>
      <c r="I335" s="4"/>
      <c r="J335" s="18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4"/>
      <c r="X335" s="4"/>
      <c r="Y335" s="4"/>
      <c r="Z335" s="4"/>
    </row>
    <row r="336" spans="1:26" ht="14.25" customHeight="1" x14ac:dyDescent="0.3">
      <c r="A336" s="35"/>
      <c r="B336" s="4"/>
      <c r="C336" s="4"/>
      <c r="D336" s="4"/>
      <c r="E336" s="4"/>
      <c r="F336" s="4"/>
      <c r="G336" s="4"/>
      <c r="H336" s="4"/>
      <c r="I336" s="4"/>
      <c r="J336" s="18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4"/>
      <c r="X336" s="4"/>
      <c r="Y336" s="4"/>
      <c r="Z336" s="4"/>
    </row>
    <row r="337" spans="1:26" ht="14.25" customHeight="1" x14ac:dyDescent="0.3">
      <c r="A337" s="35"/>
      <c r="B337" s="4"/>
      <c r="C337" s="4"/>
      <c r="D337" s="4"/>
      <c r="E337" s="4"/>
      <c r="F337" s="4"/>
      <c r="G337" s="4"/>
      <c r="H337" s="4"/>
      <c r="I337" s="4"/>
      <c r="J337" s="18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4"/>
      <c r="X337" s="4"/>
      <c r="Y337" s="4"/>
      <c r="Z337" s="4"/>
    </row>
    <row r="338" spans="1:26" ht="14.25" customHeight="1" x14ac:dyDescent="0.3">
      <c r="A338" s="35"/>
      <c r="B338" s="4"/>
      <c r="C338" s="4"/>
      <c r="D338" s="4"/>
      <c r="E338" s="4"/>
      <c r="F338" s="4"/>
      <c r="G338" s="4"/>
      <c r="H338" s="4"/>
      <c r="I338" s="4"/>
      <c r="J338" s="18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4"/>
      <c r="X338" s="4"/>
      <c r="Y338" s="4"/>
      <c r="Z338" s="4"/>
    </row>
    <row r="339" spans="1:26" ht="14.25" customHeight="1" x14ac:dyDescent="0.3">
      <c r="A339" s="35"/>
      <c r="B339" s="4"/>
      <c r="C339" s="4"/>
      <c r="D339" s="4"/>
      <c r="E339" s="4"/>
      <c r="F339" s="4"/>
      <c r="G339" s="4"/>
      <c r="H339" s="4"/>
      <c r="I339" s="4"/>
      <c r="J339" s="18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4"/>
      <c r="X339" s="4"/>
      <c r="Y339" s="4"/>
      <c r="Z339" s="4"/>
    </row>
    <row r="340" spans="1:26" ht="14.25" customHeight="1" x14ac:dyDescent="0.3">
      <c r="A340" s="35"/>
      <c r="B340" s="4"/>
      <c r="C340" s="4"/>
      <c r="D340" s="4"/>
      <c r="E340" s="4"/>
      <c r="F340" s="4"/>
      <c r="G340" s="4"/>
      <c r="H340" s="4"/>
      <c r="I340" s="4"/>
      <c r="J340" s="18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4"/>
      <c r="X340" s="4"/>
      <c r="Y340" s="4"/>
      <c r="Z340" s="4"/>
    </row>
    <row r="341" spans="1:26" ht="14.25" customHeight="1" x14ac:dyDescent="0.3">
      <c r="A341" s="35"/>
      <c r="B341" s="4"/>
      <c r="C341" s="4"/>
      <c r="D341" s="4"/>
      <c r="E341" s="4"/>
      <c r="F341" s="4"/>
      <c r="G341" s="4"/>
      <c r="H341" s="4"/>
      <c r="I341" s="4"/>
      <c r="J341" s="18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4"/>
      <c r="X341" s="4"/>
      <c r="Y341" s="4"/>
      <c r="Z341" s="4"/>
    </row>
    <row r="342" spans="1:26" ht="14.25" customHeight="1" x14ac:dyDescent="0.3">
      <c r="A342" s="35"/>
      <c r="B342" s="4"/>
      <c r="C342" s="4"/>
      <c r="D342" s="4"/>
      <c r="E342" s="4"/>
      <c r="F342" s="4"/>
      <c r="G342" s="4"/>
      <c r="H342" s="4"/>
      <c r="I342" s="4"/>
      <c r="J342" s="18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4"/>
      <c r="X342" s="4"/>
      <c r="Y342" s="4"/>
      <c r="Z342" s="4"/>
    </row>
    <row r="343" spans="1:26" ht="14.25" customHeight="1" x14ac:dyDescent="0.3">
      <c r="A343" s="35"/>
      <c r="B343" s="4"/>
      <c r="C343" s="4"/>
      <c r="D343" s="4"/>
      <c r="E343" s="4"/>
      <c r="F343" s="4"/>
      <c r="G343" s="4"/>
      <c r="H343" s="4"/>
      <c r="I343" s="4"/>
      <c r="J343" s="18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4"/>
      <c r="X343" s="4"/>
      <c r="Y343" s="4"/>
      <c r="Z343" s="4"/>
    </row>
    <row r="344" spans="1:26" ht="14.25" customHeight="1" x14ac:dyDescent="0.3">
      <c r="A344" s="35"/>
      <c r="B344" s="4"/>
      <c r="C344" s="4"/>
      <c r="D344" s="4"/>
      <c r="E344" s="4"/>
      <c r="F344" s="4"/>
      <c r="G344" s="4"/>
      <c r="H344" s="4"/>
      <c r="I344" s="4"/>
      <c r="J344" s="18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4"/>
      <c r="X344" s="4"/>
      <c r="Y344" s="4"/>
      <c r="Z344" s="4"/>
    </row>
    <row r="345" spans="1:26" ht="14.25" customHeight="1" x14ac:dyDescent="0.3">
      <c r="A345" s="35"/>
      <c r="B345" s="4"/>
      <c r="C345" s="4"/>
      <c r="D345" s="4"/>
      <c r="E345" s="4"/>
      <c r="F345" s="4"/>
      <c r="G345" s="4"/>
      <c r="H345" s="4"/>
      <c r="I345" s="4"/>
      <c r="J345" s="18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4"/>
      <c r="X345" s="4"/>
      <c r="Y345" s="4"/>
      <c r="Z345" s="4"/>
    </row>
    <row r="346" spans="1:26" ht="14.25" customHeight="1" x14ac:dyDescent="0.3">
      <c r="A346" s="35"/>
      <c r="B346" s="4"/>
      <c r="C346" s="4"/>
      <c r="D346" s="4"/>
      <c r="E346" s="4"/>
      <c r="F346" s="4"/>
      <c r="G346" s="4"/>
      <c r="H346" s="4"/>
      <c r="I346" s="4"/>
      <c r="J346" s="18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4"/>
      <c r="X346" s="4"/>
      <c r="Y346" s="4"/>
      <c r="Z346" s="4"/>
    </row>
    <row r="347" spans="1:26" ht="14.25" customHeight="1" x14ac:dyDescent="0.3">
      <c r="A347" s="35"/>
      <c r="B347" s="4"/>
      <c r="C347" s="4"/>
      <c r="D347" s="4"/>
      <c r="E347" s="4"/>
      <c r="F347" s="4"/>
      <c r="G347" s="4"/>
      <c r="H347" s="4"/>
      <c r="I347" s="4"/>
      <c r="J347" s="18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4"/>
      <c r="X347" s="4"/>
      <c r="Y347" s="4"/>
      <c r="Z347" s="4"/>
    </row>
    <row r="348" spans="1:26" ht="14.25" customHeight="1" x14ac:dyDescent="0.3">
      <c r="A348" s="35"/>
      <c r="B348" s="4"/>
      <c r="C348" s="4"/>
      <c r="D348" s="4"/>
      <c r="E348" s="4"/>
      <c r="F348" s="4"/>
      <c r="G348" s="4"/>
      <c r="H348" s="4"/>
      <c r="I348" s="4"/>
      <c r="J348" s="18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4"/>
      <c r="X348" s="4"/>
      <c r="Y348" s="4"/>
      <c r="Z348" s="4"/>
    </row>
    <row r="349" spans="1:26" ht="14.25" customHeight="1" x14ac:dyDescent="0.3">
      <c r="A349" s="35"/>
      <c r="B349" s="4"/>
      <c r="C349" s="4"/>
      <c r="D349" s="4"/>
      <c r="E349" s="4"/>
      <c r="F349" s="4"/>
      <c r="G349" s="4"/>
      <c r="H349" s="4"/>
      <c r="I349" s="4"/>
      <c r="J349" s="18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4"/>
      <c r="X349" s="4"/>
      <c r="Y349" s="4"/>
      <c r="Z349" s="4"/>
    </row>
    <row r="350" spans="1:26" ht="14.25" customHeight="1" x14ac:dyDescent="0.3">
      <c r="A350" s="35"/>
      <c r="B350" s="4"/>
      <c r="C350" s="4"/>
      <c r="D350" s="4"/>
      <c r="E350" s="4"/>
      <c r="F350" s="4"/>
      <c r="G350" s="4"/>
      <c r="H350" s="4"/>
      <c r="I350" s="4"/>
      <c r="J350" s="18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4"/>
      <c r="X350" s="4"/>
      <c r="Y350" s="4"/>
      <c r="Z350" s="4"/>
    </row>
    <row r="351" spans="1:26" ht="14.25" customHeight="1" x14ac:dyDescent="0.3">
      <c r="A351" s="35"/>
      <c r="B351" s="4"/>
      <c r="C351" s="4"/>
      <c r="D351" s="4"/>
      <c r="E351" s="4"/>
      <c r="F351" s="4"/>
      <c r="G351" s="4"/>
      <c r="H351" s="4"/>
      <c r="I351" s="4"/>
      <c r="J351" s="18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4"/>
      <c r="X351" s="4"/>
      <c r="Y351" s="4"/>
      <c r="Z351" s="4"/>
    </row>
    <row r="352" spans="1:26" ht="14.25" customHeight="1" x14ac:dyDescent="0.3">
      <c r="A352" s="35"/>
      <c r="B352" s="4"/>
      <c r="C352" s="4"/>
      <c r="D352" s="4"/>
      <c r="E352" s="4"/>
      <c r="F352" s="4"/>
      <c r="G352" s="4"/>
      <c r="H352" s="4"/>
      <c r="I352" s="4"/>
      <c r="J352" s="18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4"/>
      <c r="X352" s="4"/>
      <c r="Y352" s="4"/>
      <c r="Z352" s="4"/>
    </row>
    <row r="353" spans="1:26" ht="14.25" customHeight="1" x14ac:dyDescent="0.3">
      <c r="A353" s="35"/>
      <c r="B353" s="4"/>
      <c r="C353" s="4"/>
      <c r="D353" s="4"/>
      <c r="E353" s="4"/>
      <c r="F353" s="4"/>
      <c r="G353" s="4"/>
      <c r="H353" s="4"/>
      <c r="I353" s="4"/>
      <c r="J353" s="18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4"/>
      <c r="X353" s="4"/>
      <c r="Y353" s="4"/>
      <c r="Z353" s="4"/>
    </row>
    <row r="354" spans="1:26" ht="14.25" customHeight="1" x14ac:dyDescent="0.3">
      <c r="A354" s="35"/>
      <c r="B354" s="4"/>
      <c r="C354" s="4"/>
      <c r="D354" s="4"/>
      <c r="E354" s="4"/>
      <c r="F354" s="4"/>
      <c r="G354" s="4"/>
      <c r="H354" s="4"/>
      <c r="I354" s="4"/>
      <c r="J354" s="18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4"/>
      <c r="X354" s="4"/>
      <c r="Y354" s="4"/>
      <c r="Z354" s="4"/>
    </row>
    <row r="355" spans="1:26" ht="14.25" customHeight="1" x14ac:dyDescent="0.3">
      <c r="A355" s="35"/>
      <c r="B355" s="4"/>
      <c r="C355" s="4"/>
      <c r="D355" s="4"/>
      <c r="E355" s="4"/>
      <c r="F355" s="4"/>
      <c r="G355" s="4"/>
      <c r="H355" s="4"/>
      <c r="I355" s="4"/>
      <c r="J355" s="18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4"/>
      <c r="X355" s="4"/>
      <c r="Y355" s="4"/>
      <c r="Z355" s="4"/>
    </row>
    <row r="356" spans="1:26" ht="14.25" customHeight="1" x14ac:dyDescent="0.3">
      <c r="A356" s="35"/>
      <c r="B356" s="4"/>
      <c r="C356" s="4"/>
      <c r="D356" s="4"/>
      <c r="E356" s="4"/>
      <c r="F356" s="4"/>
      <c r="G356" s="4"/>
      <c r="H356" s="4"/>
      <c r="I356" s="4"/>
      <c r="J356" s="18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4"/>
      <c r="X356" s="4"/>
      <c r="Y356" s="4"/>
      <c r="Z356" s="4"/>
    </row>
    <row r="357" spans="1:26" ht="14.25" customHeight="1" x14ac:dyDescent="0.3">
      <c r="A357" s="35"/>
      <c r="B357" s="4"/>
      <c r="C357" s="4"/>
      <c r="D357" s="4"/>
      <c r="E357" s="4"/>
      <c r="F357" s="4"/>
      <c r="G357" s="4"/>
      <c r="H357" s="4"/>
      <c r="I357" s="4"/>
      <c r="J357" s="18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4"/>
      <c r="X357" s="4"/>
      <c r="Y357" s="4"/>
      <c r="Z357" s="4"/>
    </row>
    <row r="358" spans="1:26" ht="14.25" customHeight="1" x14ac:dyDescent="0.3">
      <c r="A358" s="35"/>
      <c r="B358" s="4"/>
      <c r="C358" s="4"/>
      <c r="D358" s="4"/>
      <c r="E358" s="4"/>
      <c r="F358" s="4"/>
      <c r="G358" s="4"/>
      <c r="H358" s="4"/>
      <c r="I358" s="4"/>
      <c r="J358" s="18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4"/>
      <c r="X358" s="4"/>
      <c r="Y358" s="4"/>
      <c r="Z358" s="4"/>
    </row>
    <row r="359" spans="1:26" ht="14.25" customHeight="1" x14ac:dyDescent="0.3">
      <c r="A359" s="35"/>
      <c r="B359" s="4"/>
      <c r="C359" s="4"/>
      <c r="D359" s="4"/>
      <c r="E359" s="4"/>
      <c r="F359" s="4"/>
      <c r="G359" s="4"/>
      <c r="H359" s="4"/>
      <c r="I359" s="4"/>
      <c r="J359" s="18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4"/>
      <c r="X359" s="4"/>
      <c r="Y359" s="4"/>
      <c r="Z359" s="4"/>
    </row>
    <row r="360" spans="1:26" ht="14.25" customHeight="1" x14ac:dyDescent="0.3">
      <c r="A360" s="35"/>
      <c r="B360" s="4"/>
      <c r="C360" s="4"/>
      <c r="D360" s="4"/>
      <c r="E360" s="4"/>
      <c r="F360" s="4"/>
      <c r="G360" s="4"/>
      <c r="H360" s="4"/>
      <c r="I360" s="4"/>
      <c r="J360" s="18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4"/>
      <c r="X360" s="4"/>
      <c r="Y360" s="4"/>
      <c r="Z360" s="4"/>
    </row>
    <row r="361" spans="1:26" ht="14.25" customHeight="1" x14ac:dyDescent="0.3">
      <c r="A361" s="35"/>
      <c r="B361" s="4"/>
      <c r="C361" s="4"/>
      <c r="D361" s="4"/>
      <c r="E361" s="4"/>
      <c r="F361" s="4"/>
      <c r="G361" s="4"/>
      <c r="H361" s="4"/>
      <c r="I361" s="4"/>
      <c r="J361" s="18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4"/>
      <c r="X361" s="4"/>
      <c r="Y361" s="4"/>
      <c r="Z361" s="4"/>
    </row>
    <row r="362" spans="1:26" ht="14.25" customHeight="1" x14ac:dyDescent="0.3">
      <c r="A362" s="35"/>
      <c r="B362" s="4"/>
      <c r="C362" s="4"/>
      <c r="D362" s="4"/>
      <c r="E362" s="4"/>
      <c r="F362" s="4"/>
      <c r="G362" s="4"/>
      <c r="H362" s="4"/>
      <c r="I362" s="4"/>
      <c r="J362" s="18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4"/>
      <c r="X362" s="4"/>
      <c r="Y362" s="4"/>
      <c r="Z362" s="4"/>
    </row>
    <row r="363" spans="1:26" ht="14.25" customHeight="1" x14ac:dyDescent="0.3">
      <c r="A363" s="35"/>
      <c r="B363" s="4"/>
      <c r="C363" s="4"/>
      <c r="D363" s="4"/>
      <c r="E363" s="4"/>
      <c r="F363" s="4"/>
      <c r="G363" s="4"/>
      <c r="H363" s="4"/>
      <c r="I363" s="4"/>
      <c r="J363" s="18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4"/>
      <c r="X363" s="4"/>
      <c r="Y363" s="4"/>
      <c r="Z363" s="4"/>
    </row>
    <row r="364" spans="1:26" ht="14.25" customHeight="1" x14ac:dyDescent="0.3">
      <c r="A364" s="35"/>
      <c r="B364" s="4"/>
      <c r="C364" s="4"/>
      <c r="D364" s="4"/>
      <c r="E364" s="4"/>
      <c r="F364" s="4"/>
      <c r="G364" s="4"/>
      <c r="H364" s="4"/>
      <c r="I364" s="4"/>
      <c r="J364" s="18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4"/>
      <c r="X364" s="4"/>
      <c r="Y364" s="4"/>
      <c r="Z364" s="4"/>
    </row>
    <row r="365" spans="1:26" ht="14.25" customHeight="1" x14ac:dyDescent="0.3">
      <c r="A365" s="35"/>
      <c r="B365" s="4"/>
      <c r="C365" s="4"/>
      <c r="D365" s="4"/>
      <c r="E365" s="4"/>
      <c r="F365" s="4"/>
      <c r="G365" s="4"/>
      <c r="H365" s="4"/>
      <c r="I365" s="4"/>
      <c r="J365" s="18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4"/>
      <c r="X365" s="4"/>
      <c r="Y365" s="4"/>
      <c r="Z365" s="4"/>
    </row>
    <row r="366" spans="1:26" ht="14.25" customHeight="1" x14ac:dyDescent="0.3">
      <c r="A366" s="35"/>
      <c r="B366" s="4"/>
      <c r="C366" s="4"/>
      <c r="D366" s="4"/>
      <c r="E366" s="4"/>
      <c r="F366" s="4"/>
      <c r="G366" s="4"/>
      <c r="H366" s="4"/>
      <c r="I366" s="4"/>
      <c r="J366" s="18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4"/>
      <c r="X366" s="4"/>
      <c r="Y366" s="4"/>
      <c r="Z366" s="4"/>
    </row>
    <row r="367" spans="1:26" ht="14.25" customHeight="1" x14ac:dyDescent="0.3">
      <c r="A367" s="35"/>
      <c r="B367" s="4"/>
      <c r="C367" s="4"/>
      <c r="D367" s="4"/>
      <c r="E367" s="4"/>
      <c r="F367" s="4"/>
      <c r="G367" s="4"/>
      <c r="H367" s="4"/>
      <c r="I367" s="4"/>
      <c r="J367" s="18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4"/>
      <c r="X367" s="4"/>
      <c r="Y367" s="4"/>
      <c r="Z367" s="4"/>
    </row>
    <row r="368" spans="1:26" ht="14.25" customHeight="1" x14ac:dyDescent="0.3">
      <c r="A368" s="35"/>
      <c r="B368" s="4"/>
      <c r="C368" s="4"/>
      <c r="D368" s="4"/>
      <c r="E368" s="4"/>
      <c r="F368" s="4"/>
      <c r="G368" s="4"/>
      <c r="H368" s="4"/>
      <c r="I368" s="4"/>
      <c r="J368" s="18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4"/>
      <c r="X368" s="4"/>
      <c r="Y368" s="4"/>
      <c r="Z368" s="4"/>
    </row>
    <row r="369" spans="1:26" ht="14.25" customHeight="1" x14ac:dyDescent="0.3">
      <c r="A369" s="35"/>
      <c r="B369" s="4"/>
      <c r="C369" s="4"/>
      <c r="D369" s="4"/>
      <c r="E369" s="4"/>
      <c r="F369" s="4"/>
      <c r="G369" s="4"/>
      <c r="H369" s="4"/>
      <c r="I369" s="4"/>
      <c r="J369" s="18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4"/>
      <c r="X369" s="4"/>
      <c r="Y369" s="4"/>
      <c r="Z369" s="4"/>
    </row>
    <row r="370" spans="1:26" ht="14.25" customHeight="1" x14ac:dyDescent="0.3">
      <c r="A370" s="35"/>
      <c r="B370" s="4"/>
      <c r="C370" s="4"/>
      <c r="D370" s="4"/>
      <c r="E370" s="4"/>
      <c r="F370" s="4"/>
      <c r="G370" s="4"/>
      <c r="H370" s="4"/>
      <c r="I370" s="4"/>
      <c r="J370" s="18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4"/>
      <c r="X370" s="4"/>
      <c r="Y370" s="4"/>
      <c r="Z370" s="4"/>
    </row>
    <row r="371" spans="1:26" ht="14.25" customHeight="1" x14ac:dyDescent="0.3">
      <c r="A371" s="35"/>
      <c r="B371" s="4"/>
      <c r="C371" s="4"/>
      <c r="D371" s="4"/>
      <c r="E371" s="4"/>
      <c r="F371" s="4"/>
      <c r="G371" s="4"/>
      <c r="H371" s="4"/>
      <c r="I371" s="4"/>
      <c r="J371" s="18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4"/>
      <c r="X371" s="4"/>
      <c r="Y371" s="4"/>
      <c r="Z371" s="4"/>
    </row>
    <row r="372" spans="1:26" ht="14.25" customHeight="1" x14ac:dyDescent="0.3">
      <c r="A372" s="35"/>
      <c r="B372" s="4"/>
      <c r="C372" s="4"/>
      <c r="D372" s="4"/>
      <c r="E372" s="4"/>
      <c r="F372" s="4"/>
      <c r="G372" s="4"/>
      <c r="H372" s="4"/>
      <c r="I372" s="4"/>
      <c r="J372" s="18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4"/>
      <c r="X372" s="4"/>
      <c r="Y372" s="4"/>
      <c r="Z372" s="4"/>
    </row>
    <row r="373" spans="1:26" ht="14.25" customHeight="1" x14ac:dyDescent="0.3">
      <c r="A373" s="35"/>
      <c r="B373" s="4"/>
      <c r="C373" s="4"/>
      <c r="D373" s="4"/>
      <c r="E373" s="4"/>
      <c r="F373" s="4"/>
      <c r="G373" s="4"/>
      <c r="H373" s="4"/>
      <c r="I373" s="4"/>
      <c r="J373" s="18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4"/>
      <c r="X373" s="4"/>
      <c r="Y373" s="4"/>
      <c r="Z373" s="4"/>
    </row>
    <row r="374" spans="1:26" ht="14.25" customHeight="1" x14ac:dyDescent="0.3">
      <c r="A374" s="35"/>
      <c r="B374" s="4"/>
      <c r="C374" s="4"/>
      <c r="D374" s="4"/>
      <c r="E374" s="4"/>
      <c r="F374" s="4"/>
      <c r="G374" s="4"/>
      <c r="H374" s="4"/>
      <c r="I374" s="4"/>
      <c r="J374" s="18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4"/>
      <c r="X374" s="4"/>
      <c r="Y374" s="4"/>
      <c r="Z374" s="4"/>
    </row>
    <row r="375" spans="1:26" ht="14.25" customHeight="1" x14ac:dyDescent="0.3">
      <c r="A375" s="35"/>
      <c r="B375" s="4"/>
      <c r="C375" s="4"/>
      <c r="D375" s="4"/>
      <c r="E375" s="4"/>
      <c r="F375" s="4"/>
      <c r="G375" s="4"/>
      <c r="H375" s="4"/>
      <c r="I375" s="4"/>
      <c r="J375" s="18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4"/>
      <c r="X375" s="4"/>
      <c r="Y375" s="4"/>
      <c r="Z375" s="4"/>
    </row>
    <row r="376" spans="1:26" ht="14.25" customHeight="1" x14ac:dyDescent="0.3">
      <c r="A376" s="35"/>
      <c r="B376" s="4"/>
      <c r="C376" s="4"/>
      <c r="D376" s="4"/>
      <c r="E376" s="4"/>
      <c r="F376" s="4"/>
      <c r="G376" s="4"/>
      <c r="H376" s="4"/>
      <c r="I376" s="4"/>
      <c r="J376" s="18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4"/>
      <c r="X376" s="4"/>
      <c r="Y376" s="4"/>
      <c r="Z376" s="4"/>
    </row>
    <row r="377" spans="1:26" ht="14.25" customHeight="1" x14ac:dyDescent="0.3">
      <c r="A377" s="35"/>
      <c r="B377" s="4"/>
      <c r="C377" s="4"/>
      <c r="D377" s="4"/>
      <c r="E377" s="4"/>
      <c r="F377" s="4"/>
      <c r="G377" s="4"/>
      <c r="H377" s="4"/>
      <c r="I377" s="4"/>
      <c r="J377" s="18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4"/>
      <c r="X377" s="4"/>
      <c r="Y377" s="4"/>
      <c r="Z377" s="4"/>
    </row>
    <row r="378" spans="1:26" ht="14.25" customHeight="1" x14ac:dyDescent="0.3">
      <c r="A378" s="35"/>
      <c r="B378" s="4"/>
      <c r="C378" s="4"/>
      <c r="D378" s="4"/>
      <c r="E378" s="4"/>
      <c r="F378" s="4"/>
      <c r="G378" s="4"/>
      <c r="H378" s="4"/>
      <c r="I378" s="4"/>
      <c r="J378" s="18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4"/>
      <c r="X378" s="4"/>
      <c r="Y378" s="4"/>
      <c r="Z378" s="4"/>
    </row>
    <row r="379" spans="1:26" ht="14.25" customHeight="1" x14ac:dyDescent="0.3">
      <c r="A379" s="35"/>
      <c r="B379" s="4"/>
      <c r="C379" s="4"/>
      <c r="D379" s="4"/>
      <c r="E379" s="4"/>
      <c r="F379" s="4"/>
      <c r="G379" s="4"/>
      <c r="H379" s="4"/>
      <c r="I379" s="4"/>
      <c r="J379" s="18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4"/>
      <c r="X379" s="4"/>
      <c r="Y379" s="4"/>
      <c r="Z379" s="4"/>
    </row>
    <row r="380" spans="1:26" ht="14.25" customHeight="1" x14ac:dyDescent="0.3">
      <c r="A380" s="35"/>
      <c r="B380" s="4"/>
      <c r="C380" s="4"/>
      <c r="D380" s="4"/>
      <c r="E380" s="4"/>
      <c r="F380" s="4"/>
      <c r="G380" s="4"/>
      <c r="H380" s="4"/>
      <c r="I380" s="4"/>
      <c r="J380" s="18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4"/>
      <c r="X380" s="4"/>
      <c r="Y380" s="4"/>
      <c r="Z380" s="4"/>
    </row>
    <row r="381" spans="1:26" ht="14.25" customHeight="1" x14ac:dyDescent="0.3">
      <c r="A381" s="35"/>
      <c r="B381" s="4"/>
      <c r="C381" s="4"/>
      <c r="D381" s="4"/>
      <c r="E381" s="4"/>
      <c r="F381" s="4"/>
      <c r="G381" s="4"/>
      <c r="H381" s="4"/>
      <c r="I381" s="4"/>
      <c r="J381" s="18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4"/>
      <c r="X381" s="4"/>
      <c r="Y381" s="4"/>
      <c r="Z381" s="4"/>
    </row>
    <row r="382" spans="1:26" ht="14.25" customHeight="1" x14ac:dyDescent="0.3">
      <c r="A382" s="35"/>
      <c r="B382" s="4"/>
      <c r="C382" s="4"/>
      <c r="D382" s="4"/>
      <c r="E382" s="4"/>
      <c r="F382" s="4"/>
      <c r="G382" s="4"/>
      <c r="H382" s="4"/>
      <c r="I382" s="4"/>
      <c r="J382" s="18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4"/>
      <c r="X382" s="4"/>
      <c r="Y382" s="4"/>
      <c r="Z382" s="4"/>
    </row>
    <row r="383" spans="1:26" ht="14.25" customHeight="1" x14ac:dyDescent="0.3">
      <c r="A383" s="35"/>
      <c r="B383" s="4"/>
      <c r="C383" s="4"/>
      <c r="D383" s="4"/>
      <c r="E383" s="4"/>
      <c r="F383" s="4"/>
      <c r="G383" s="4"/>
      <c r="H383" s="4"/>
      <c r="I383" s="4"/>
      <c r="J383" s="18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4"/>
      <c r="X383" s="4"/>
      <c r="Y383" s="4"/>
      <c r="Z383" s="4"/>
    </row>
    <row r="384" spans="1:26" ht="14.25" customHeight="1" x14ac:dyDescent="0.3">
      <c r="A384" s="35"/>
      <c r="B384" s="4"/>
      <c r="C384" s="4"/>
      <c r="D384" s="4"/>
      <c r="E384" s="4"/>
      <c r="F384" s="4"/>
      <c r="G384" s="4"/>
      <c r="H384" s="4"/>
      <c r="I384" s="4"/>
      <c r="J384" s="18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4"/>
      <c r="X384" s="4"/>
      <c r="Y384" s="4"/>
      <c r="Z384" s="4"/>
    </row>
    <row r="385" spans="1:26" ht="14.25" customHeight="1" x14ac:dyDescent="0.3">
      <c r="A385" s="35"/>
      <c r="B385" s="4"/>
      <c r="C385" s="4"/>
      <c r="D385" s="4"/>
      <c r="E385" s="4"/>
      <c r="F385" s="4"/>
      <c r="G385" s="4"/>
      <c r="H385" s="4"/>
      <c r="I385" s="4"/>
      <c r="J385" s="18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4"/>
      <c r="X385" s="4"/>
      <c r="Y385" s="4"/>
      <c r="Z385" s="4"/>
    </row>
    <row r="386" spans="1:26" ht="14.25" customHeight="1" x14ac:dyDescent="0.3">
      <c r="A386" s="35"/>
      <c r="B386" s="4"/>
      <c r="C386" s="4"/>
      <c r="D386" s="4"/>
      <c r="E386" s="4"/>
      <c r="F386" s="4"/>
      <c r="G386" s="4"/>
      <c r="H386" s="4"/>
      <c r="I386" s="4"/>
      <c r="J386" s="18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4"/>
      <c r="X386" s="4"/>
      <c r="Y386" s="4"/>
      <c r="Z386" s="4"/>
    </row>
    <row r="387" spans="1:26" ht="14.25" customHeight="1" x14ac:dyDescent="0.3">
      <c r="A387" s="35"/>
      <c r="B387" s="4"/>
      <c r="C387" s="4"/>
      <c r="D387" s="4"/>
      <c r="E387" s="4"/>
      <c r="F387" s="4"/>
      <c r="G387" s="4"/>
      <c r="H387" s="4"/>
      <c r="I387" s="4"/>
      <c r="J387" s="18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4"/>
      <c r="X387" s="4"/>
      <c r="Y387" s="4"/>
      <c r="Z387" s="4"/>
    </row>
    <row r="388" spans="1:26" ht="14.25" customHeight="1" x14ac:dyDescent="0.3">
      <c r="A388" s="35"/>
      <c r="B388" s="4"/>
      <c r="C388" s="4"/>
      <c r="D388" s="4"/>
      <c r="E388" s="4"/>
      <c r="F388" s="4"/>
      <c r="G388" s="4"/>
      <c r="H388" s="4"/>
      <c r="I388" s="4"/>
      <c r="J388" s="18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4"/>
      <c r="X388" s="4"/>
      <c r="Y388" s="4"/>
      <c r="Z388" s="4"/>
    </row>
    <row r="389" spans="1:26" ht="14.25" customHeight="1" x14ac:dyDescent="0.3">
      <c r="A389" s="35"/>
      <c r="B389" s="4"/>
      <c r="C389" s="4"/>
      <c r="D389" s="4"/>
      <c r="E389" s="4"/>
      <c r="F389" s="4"/>
      <c r="G389" s="4"/>
      <c r="H389" s="4"/>
      <c r="I389" s="4"/>
      <c r="J389" s="18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4"/>
      <c r="X389" s="4"/>
      <c r="Y389" s="4"/>
      <c r="Z389" s="4"/>
    </row>
    <row r="390" spans="1:26" ht="14.25" customHeight="1" x14ac:dyDescent="0.3">
      <c r="A390" s="35"/>
      <c r="B390" s="4"/>
      <c r="C390" s="4"/>
      <c r="D390" s="4"/>
      <c r="E390" s="4"/>
      <c r="F390" s="4"/>
      <c r="G390" s="4"/>
      <c r="H390" s="4"/>
      <c r="I390" s="4"/>
      <c r="J390" s="18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4"/>
      <c r="X390" s="4"/>
      <c r="Y390" s="4"/>
      <c r="Z390" s="4"/>
    </row>
    <row r="391" spans="1:26" ht="14.25" customHeight="1" x14ac:dyDescent="0.3">
      <c r="A391" s="35"/>
      <c r="B391" s="4"/>
      <c r="C391" s="4"/>
      <c r="D391" s="4"/>
      <c r="E391" s="4"/>
      <c r="F391" s="4"/>
      <c r="G391" s="4"/>
      <c r="H391" s="4"/>
      <c r="I391" s="4"/>
      <c r="J391" s="18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4"/>
      <c r="X391" s="4"/>
      <c r="Y391" s="4"/>
      <c r="Z391" s="4"/>
    </row>
    <row r="392" spans="1:26" ht="14.25" customHeight="1" x14ac:dyDescent="0.3">
      <c r="A392" s="35"/>
      <c r="B392" s="4"/>
      <c r="C392" s="4"/>
      <c r="D392" s="4"/>
      <c r="E392" s="4"/>
      <c r="F392" s="4"/>
      <c r="G392" s="4"/>
      <c r="H392" s="4"/>
      <c r="I392" s="4"/>
      <c r="J392" s="18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4"/>
      <c r="X392" s="4"/>
      <c r="Y392" s="4"/>
      <c r="Z392" s="4"/>
    </row>
    <row r="393" spans="1:26" ht="14.25" customHeight="1" x14ac:dyDescent="0.3">
      <c r="A393" s="35"/>
      <c r="B393" s="4"/>
      <c r="C393" s="4"/>
      <c r="D393" s="4"/>
      <c r="E393" s="4"/>
      <c r="F393" s="4"/>
      <c r="G393" s="4"/>
      <c r="H393" s="4"/>
      <c r="I393" s="4"/>
      <c r="J393" s="18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4"/>
      <c r="X393" s="4"/>
      <c r="Y393" s="4"/>
      <c r="Z393" s="4"/>
    </row>
    <row r="394" spans="1:26" ht="14.25" customHeight="1" x14ac:dyDescent="0.3">
      <c r="A394" s="35"/>
      <c r="B394" s="4"/>
      <c r="C394" s="4"/>
      <c r="D394" s="4"/>
      <c r="E394" s="4"/>
      <c r="F394" s="4"/>
      <c r="G394" s="4"/>
      <c r="H394" s="4"/>
      <c r="I394" s="4"/>
      <c r="J394" s="18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4"/>
      <c r="X394" s="4"/>
      <c r="Y394" s="4"/>
      <c r="Z394" s="4"/>
    </row>
    <row r="395" spans="1:26" ht="14.25" customHeight="1" x14ac:dyDescent="0.3">
      <c r="A395" s="35"/>
      <c r="B395" s="4"/>
      <c r="C395" s="4"/>
      <c r="D395" s="4"/>
      <c r="E395" s="4"/>
      <c r="F395" s="4"/>
      <c r="G395" s="4"/>
      <c r="H395" s="4"/>
      <c r="I395" s="4"/>
      <c r="J395" s="18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4"/>
      <c r="X395" s="4"/>
      <c r="Y395" s="4"/>
      <c r="Z395" s="4"/>
    </row>
    <row r="396" spans="1:26" ht="14.25" customHeight="1" x14ac:dyDescent="0.3">
      <c r="A396" s="35"/>
      <c r="B396" s="4"/>
      <c r="C396" s="4"/>
      <c r="D396" s="4"/>
      <c r="E396" s="4"/>
      <c r="F396" s="4"/>
      <c r="G396" s="4"/>
      <c r="H396" s="4"/>
      <c r="I396" s="4"/>
      <c r="J396" s="18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4"/>
      <c r="X396" s="4"/>
      <c r="Y396" s="4"/>
      <c r="Z396" s="4"/>
    </row>
    <row r="397" spans="1:26" ht="14.25" customHeight="1" x14ac:dyDescent="0.3">
      <c r="A397" s="35"/>
      <c r="B397" s="4"/>
      <c r="C397" s="4"/>
      <c r="D397" s="4"/>
      <c r="E397" s="4"/>
      <c r="F397" s="4"/>
      <c r="G397" s="4"/>
      <c r="H397" s="4"/>
      <c r="I397" s="4"/>
      <c r="J397" s="18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4"/>
      <c r="X397" s="4"/>
      <c r="Y397" s="4"/>
      <c r="Z397" s="4"/>
    </row>
    <row r="398" spans="1:26" ht="14.25" customHeight="1" x14ac:dyDescent="0.3">
      <c r="A398" s="35"/>
      <c r="B398" s="4"/>
      <c r="C398" s="4"/>
      <c r="D398" s="4"/>
      <c r="E398" s="4"/>
      <c r="F398" s="4"/>
      <c r="G398" s="4"/>
      <c r="H398" s="4"/>
      <c r="I398" s="4"/>
      <c r="J398" s="18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4"/>
      <c r="X398" s="4"/>
      <c r="Y398" s="4"/>
      <c r="Z398" s="4"/>
    </row>
    <row r="399" spans="1:26" ht="14.25" customHeight="1" x14ac:dyDescent="0.3">
      <c r="A399" s="35"/>
      <c r="B399" s="4"/>
      <c r="C399" s="4"/>
      <c r="D399" s="4"/>
      <c r="E399" s="4"/>
      <c r="F399" s="4"/>
      <c r="G399" s="4"/>
      <c r="H399" s="4"/>
      <c r="I399" s="4"/>
      <c r="J399" s="18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4"/>
      <c r="X399" s="4"/>
      <c r="Y399" s="4"/>
      <c r="Z399" s="4"/>
    </row>
    <row r="400" spans="1:26" ht="14.25" customHeight="1" x14ac:dyDescent="0.3">
      <c r="A400" s="35"/>
      <c r="B400" s="4"/>
      <c r="C400" s="4"/>
      <c r="D400" s="4"/>
      <c r="E400" s="4"/>
      <c r="F400" s="4"/>
      <c r="G400" s="4"/>
      <c r="H400" s="4"/>
      <c r="I400" s="4"/>
      <c r="J400" s="18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4"/>
      <c r="X400" s="4"/>
      <c r="Y400" s="4"/>
      <c r="Z400" s="4"/>
    </row>
    <row r="401" spans="1:26" ht="14.25" customHeight="1" x14ac:dyDescent="0.3">
      <c r="A401" s="35"/>
      <c r="B401" s="4"/>
      <c r="C401" s="4"/>
      <c r="D401" s="4"/>
      <c r="E401" s="4"/>
      <c r="F401" s="4"/>
      <c r="G401" s="4"/>
      <c r="H401" s="4"/>
      <c r="I401" s="4"/>
      <c r="J401" s="18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4"/>
      <c r="X401" s="4"/>
      <c r="Y401" s="4"/>
      <c r="Z401" s="4"/>
    </row>
    <row r="402" spans="1:26" ht="14.25" customHeight="1" x14ac:dyDescent="0.3">
      <c r="A402" s="35"/>
      <c r="B402" s="4"/>
      <c r="C402" s="4"/>
      <c r="D402" s="4"/>
      <c r="E402" s="4"/>
      <c r="F402" s="4"/>
      <c r="G402" s="4"/>
      <c r="H402" s="4"/>
      <c r="I402" s="4"/>
      <c r="J402" s="18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4"/>
      <c r="X402" s="4"/>
      <c r="Y402" s="4"/>
      <c r="Z402" s="4"/>
    </row>
    <row r="403" spans="1:26" ht="14.25" customHeight="1" x14ac:dyDescent="0.3">
      <c r="A403" s="35"/>
      <c r="B403" s="4"/>
      <c r="C403" s="4"/>
      <c r="D403" s="4"/>
      <c r="E403" s="4"/>
      <c r="F403" s="4"/>
      <c r="G403" s="4"/>
      <c r="H403" s="4"/>
      <c r="I403" s="4"/>
      <c r="J403" s="18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4"/>
      <c r="X403" s="4"/>
      <c r="Y403" s="4"/>
      <c r="Z403" s="4"/>
    </row>
    <row r="404" spans="1:26" ht="14.25" customHeight="1" x14ac:dyDescent="0.3">
      <c r="A404" s="35"/>
      <c r="B404" s="4"/>
      <c r="C404" s="4"/>
      <c r="D404" s="4"/>
      <c r="E404" s="4"/>
      <c r="F404" s="4"/>
      <c r="G404" s="4"/>
      <c r="H404" s="4"/>
      <c r="I404" s="4"/>
      <c r="J404" s="18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4"/>
      <c r="X404" s="4"/>
      <c r="Y404" s="4"/>
      <c r="Z404" s="4"/>
    </row>
    <row r="405" spans="1:26" ht="14.25" customHeight="1" x14ac:dyDescent="0.3">
      <c r="A405" s="35"/>
      <c r="B405" s="4"/>
      <c r="C405" s="4"/>
      <c r="D405" s="4"/>
      <c r="E405" s="4"/>
      <c r="F405" s="4"/>
      <c r="G405" s="4"/>
      <c r="H405" s="4"/>
      <c r="I405" s="4"/>
      <c r="J405" s="18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4"/>
      <c r="X405" s="4"/>
      <c r="Y405" s="4"/>
      <c r="Z405" s="4"/>
    </row>
    <row r="406" spans="1:26" ht="14.25" customHeight="1" x14ac:dyDescent="0.3">
      <c r="A406" s="35"/>
      <c r="B406" s="4"/>
      <c r="C406" s="4"/>
      <c r="D406" s="4"/>
      <c r="E406" s="4"/>
      <c r="F406" s="4"/>
      <c r="G406" s="4"/>
      <c r="H406" s="4"/>
      <c r="I406" s="4"/>
      <c r="J406" s="18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4"/>
      <c r="X406" s="4"/>
      <c r="Y406" s="4"/>
      <c r="Z406" s="4"/>
    </row>
    <row r="407" spans="1:26" ht="14.25" customHeight="1" x14ac:dyDescent="0.3">
      <c r="A407" s="35"/>
      <c r="B407" s="4"/>
      <c r="C407" s="4"/>
      <c r="D407" s="4"/>
      <c r="E407" s="4"/>
      <c r="F407" s="4"/>
      <c r="G407" s="4"/>
      <c r="H407" s="4"/>
      <c r="I407" s="4"/>
      <c r="J407" s="18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4"/>
      <c r="X407" s="4"/>
      <c r="Y407" s="4"/>
      <c r="Z407" s="4"/>
    </row>
    <row r="408" spans="1:26" ht="14.25" customHeight="1" x14ac:dyDescent="0.3">
      <c r="A408" s="35"/>
      <c r="B408" s="4"/>
      <c r="C408" s="4"/>
      <c r="D408" s="4"/>
      <c r="E408" s="4"/>
      <c r="F408" s="4"/>
      <c r="G408" s="4"/>
      <c r="H408" s="4"/>
      <c r="I408" s="4"/>
      <c r="J408" s="18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4"/>
      <c r="X408" s="4"/>
      <c r="Y408" s="4"/>
      <c r="Z408" s="4"/>
    </row>
    <row r="409" spans="1:26" ht="14.25" customHeight="1" x14ac:dyDescent="0.3">
      <c r="A409" s="35"/>
      <c r="B409" s="4"/>
      <c r="C409" s="4"/>
      <c r="D409" s="4"/>
      <c r="E409" s="4"/>
      <c r="F409" s="4"/>
      <c r="G409" s="4"/>
      <c r="H409" s="4"/>
      <c r="I409" s="4"/>
      <c r="J409" s="18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4"/>
      <c r="X409" s="4"/>
      <c r="Y409" s="4"/>
      <c r="Z409" s="4"/>
    </row>
    <row r="410" spans="1:26" ht="14.25" customHeight="1" x14ac:dyDescent="0.3">
      <c r="A410" s="35"/>
      <c r="B410" s="4"/>
      <c r="C410" s="4"/>
      <c r="D410" s="4"/>
      <c r="E410" s="4"/>
      <c r="F410" s="4"/>
      <c r="G410" s="4"/>
      <c r="H410" s="4"/>
      <c r="I410" s="4"/>
      <c r="J410" s="18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"/>
      <c r="X410" s="4"/>
      <c r="Y410" s="4"/>
      <c r="Z410" s="4"/>
    </row>
    <row r="411" spans="1:26" ht="14.25" customHeight="1" x14ac:dyDescent="0.3">
      <c r="A411" s="35"/>
      <c r="B411" s="4"/>
      <c r="C411" s="4"/>
      <c r="D411" s="4"/>
      <c r="E411" s="4"/>
      <c r="F411" s="4"/>
      <c r="G411" s="4"/>
      <c r="H411" s="4"/>
      <c r="I411" s="4"/>
      <c r="J411" s="18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4"/>
      <c r="X411" s="4"/>
      <c r="Y411" s="4"/>
      <c r="Z411" s="4"/>
    </row>
    <row r="412" spans="1:26" ht="14.25" customHeight="1" x14ac:dyDescent="0.3">
      <c r="A412" s="35"/>
      <c r="B412" s="4"/>
      <c r="C412" s="4"/>
      <c r="D412" s="4"/>
      <c r="E412" s="4"/>
      <c r="F412" s="4"/>
      <c r="G412" s="4"/>
      <c r="H412" s="4"/>
      <c r="I412" s="4"/>
      <c r="J412" s="18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"/>
      <c r="X412" s="4"/>
      <c r="Y412" s="4"/>
      <c r="Z412" s="4"/>
    </row>
    <row r="413" spans="1:26" ht="14.25" customHeight="1" x14ac:dyDescent="0.3">
      <c r="A413" s="35"/>
      <c r="B413" s="4"/>
      <c r="C413" s="4"/>
      <c r="D413" s="4"/>
      <c r="E413" s="4"/>
      <c r="F413" s="4"/>
      <c r="G413" s="4"/>
      <c r="H413" s="4"/>
      <c r="I413" s="4"/>
      <c r="J413" s="18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4"/>
      <c r="X413" s="4"/>
      <c r="Y413" s="4"/>
      <c r="Z413" s="4"/>
    </row>
    <row r="414" spans="1:26" ht="14.25" customHeight="1" x14ac:dyDescent="0.3">
      <c r="A414" s="35"/>
      <c r="B414" s="4"/>
      <c r="C414" s="4"/>
      <c r="D414" s="4"/>
      <c r="E414" s="4"/>
      <c r="F414" s="4"/>
      <c r="G414" s="4"/>
      <c r="H414" s="4"/>
      <c r="I414" s="4"/>
      <c r="J414" s="18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4"/>
      <c r="X414" s="4"/>
      <c r="Y414" s="4"/>
      <c r="Z414" s="4"/>
    </row>
    <row r="415" spans="1:26" ht="14.25" customHeight="1" x14ac:dyDescent="0.3">
      <c r="A415" s="35"/>
      <c r="B415" s="4"/>
      <c r="C415" s="4"/>
      <c r="D415" s="4"/>
      <c r="E415" s="4"/>
      <c r="F415" s="4"/>
      <c r="G415" s="4"/>
      <c r="H415" s="4"/>
      <c r="I415" s="4"/>
      <c r="J415" s="18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4"/>
      <c r="X415" s="4"/>
      <c r="Y415" s="4"/>
      <c r="Z415" s="4"/>
    </row>
    <row r="416" spans="1:26" ht="14.25" customHeight="1" x14ac:dyDescent="0.3">
      <c r="A416" s="35"/>
      <c r="B416" s="4"/>
      <c r="C416" s="4"/>
      <c r="D416" s="4"/>
      <c r="E416" s="4"/>
      <c r="F416" s="4"/>
      <c r="G416" s="4"/>
      <c r="H416" s="4"/>
      <c r="I416" s="4"/>
      <c r="J416" s="18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4"/>
      <c r="X416" s="4"/>
      <c r="Y416" s="4"/>
      <c r="Z416" s="4"/>
    </row>
    <row r="417" spans="1:26" ht="14.25" customHeight="1" x14ac:dyDescent="0.3">
      <c r="A417" s="35"/>
      <c r="B417" s="4"/>
      <c r="C417" s="4"/>
      <c r="D417" s="4"/>
      <c r="E417" s="4"/>
      <c r="F417" s="4"/>
      <c r="G417" s="4"/>
      <c r="H417" s="4"/>
      <c r="I417" s="4"/>
      <c r="J417" s="18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4"/>
      <c r="X417" s="4"/>
      <c r="Y417" s="4"/>
      <c r="Z417" s="4"/>
    </row>
    <row r="418" spans="1:26" ht="14.25" customHeight="1" x14ac:dyDescent="0.3">
      <c r="A418" s="35"/>
      <c r="B418" s="4"/>
      <c r="C418" s="4"/>
      <c r="D418" s="4"/>
      <c r="E418" s="4"/>
      <c r="F418" s="4"/>
      <c r="G418" s="4"/>
      <c r="H418" s="4"/>
      <c r="I418" s="4"/>
      <c r="J418" s="18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4"/>
      <c r="X418" s="4"/>
      <c r="Y418" s="4"/>
      <c r="Z418" s="4"/>
    </row>
    <row r="419" spans="1:26" ht="14.25" customHeight="1" x14ac:dyDescent="0.3">
      <c r="A419" s="35"/>
      <c r="B419" s="4"/>
      <c r="C419" s="4"/>
      <c r="D419" s="4"/>
      <c r="E419" s="4"/>
      <c r="F419" s="4"/>
      <c r="G419" s="4"/>
      <c r="H419" s="4"/>
      <c r="I419" s="4"/>
      <c r="J419" s="18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4"/>
      <c r="X419" s="4"/>
      <c r="Y419" s="4"/>
      <c r="Z419" s="4"/>
    </row>
    <row r="420" spans="1:26" ht="14.25" customHeight="1" x14ac:dyDescent="0.3">
      <c r="A420" s="35"/>
      <c r="B420" s="4"/>
      <c r="C420" s="4"/>
      <c r="D420" s="4"/>
      <c r="E420" s="4"/>
      <c r="F420" s="4"/>
      <c r="G420" s="4"/>
      <c r="H420" s="4"/>
      <c r="I420" s="4"/>
      <c r="J420" s="18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"/>
      <c r="X420" s="4"/>
      <c r="Y420" s="4"/>
      <c r="Z420" s="4"/>
    </row>
    <row r="421" spans="1:26" ht="14.25" customHeight="1" x14ac:dyDescent="0.3">
      <c r="A421" s="35"/>
      <c r="B421" s="4"/>
      <c r="C421" s="4"/>
      <c r="D421" s="4"/>
      <c r="E421" s="4"/>
      <c r="F421" s="4"/>
      <c r="G421" s="4"/>
      <c r="H421" s="4"/>
      <c r="I421" s="4"/>
      <c r="J421" s="18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"/>
      <c r="X421" s="4"/>
      <c r="Y421" s="4"/>
      <c r="Z421" s="4"/>
    </row>
    <row r="422" spans="1:26" ht="14.25" customHeight="1" x14ac:dyDescent="0.3">
      <c r="A422" s="35"/>
      <c r="B422" s="4"/>
      <c r="C422" s="4"/>
      <c r="D422" s="4"/>
      <c r="E422" s="4"/>
      <c r="F422" s="4"/>
      <c r="G422" s="4"/>
      <c r="H422" s="4"/>
      <c r="I422" s="4"/>
      <c r="J422" s="18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"/>
      <c r="X422" s="4"/>
      <c r="Y422" s="4"/>
      <c r="Z422" s="4"/>
    </row>
    <row r="423" spans="1:26" ht="14.25" customHeight="1" x14ac:dyDescent="0.3">
      <c r="A423" s="35"/>
      <c r="B423" s="4"/>
      <c r="C423" s="4"/>
      <c r="D423" s="4"/>
      <c r="E423" s="4"/>
      <c r="F423" s="4"/>
      <c r="G423" s="4"/>
      <c r="H423" s="4"/>
      <c r="I423" s="4"/>
      <c r="J423" s="18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4"/>
      <c r="X423" s="4"/>
      <c r="Y423" s="4"/>
      <c r="Z423" s="4"/>
    </row>
    <row r="424" spans="1:26" ht="14.25" customHeight="1" x14ac:dyDescent="0.3">
      <c r="A424" s="35"/>
      <c r="B424" s="4"/>
      <c r="C424" s="4"/>
      <c r="D424" s="4"/>
      <c r="E424" s="4"/>
      <c r="F424" s="4"/>
      <c r="G424" s="4"/>
      <c r="H424" s="4"/>
      <c r="I424" s="4"/>
      <c r="J424" s="18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4"/>
      <c r="X424" s="4"/>
      <c r="Y424" s="4"/>
      <c r="Z424" s="4"/>
    </row>
    <row r="425" spans="1:26" ht="14.25" customHeight="1" x14ac:dyDescent="0.3">
      <c r="A425" s="35"/>
      <c r="B425" s="4"/>
      <c r="C425" s="4"/>
      <c r="D425" s="4"/>
      <c r="E425" s="4"/>
      <c r="F425" s="4"/>
      <c r="G425" s="4"/>
      <c r="H425" s="4"/>
      <c r="I425" s="4"/>
      <c r="J425" s="18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4"/>
      <c r="X425" s="4"/>
      <c r="Y425" s="4"/>
      <c r="Z425" s="4"/>
    </row>
    <row r="426" spans="1:26" ht="14.25" customHeight="1" x14ac:dyDescent="0.3">
      <c r="A426" s="35"/>
      <c r="B426" s="4"/>
      <c r="C426" s="4"/>
      <c r="D426" s="4"/>
      <c r="E426" s="4"/>
      <c r="F426" s="4"/>
      <c r="G426" s="4"/>
      <c r="H426" s="4"/>
      <c r="I426" s="4"/>
      <c r="J426" s="18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4"/>
      <c r="X426" s="4"/>
      <c r="Y426" s="4"/>
      <c r="Z426" s="4"/>
    </row>
    <row r="427" spans="1:26" ht="14.25" customHeight="1" x14ac:dyDescent="0.3">
      <c r="A427" s="35"/>
      <c r="B427" s="4"/>
      <c r="C427" s="4"/>
      <c r="D427" s="4"/>
      <c r="E427" s="4"/>
      <c r="F427" s="4"/>
      <c r="G427" s="4"/>
      <c r="H427" s="4"/>
      <c r="I427" s="4"/>
      <c r="J427" s="18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4"/>
      <c r="X427" s="4"/>
      <c r="Y427" s="4"/>
      <c r="Z427" s="4"/>
    </row>
    <row r="428" spans="1:26" ht="14.25" customHeight="1" x14ac:dyDescent="0.3">
      <c r="A428" s="35"/>
      <c r="B428" s="4"/>
      <c r="C428" s="4"/>
      <c r="D428" s="4"/>
      <c r="E428" s="4"/>
      <c r="F428" s="4"/>
      <c r="G428" s="4"/>
      <c r="H428" s="4"/>
      <c r="I428" s="4"/>
      <c r="J428" s="18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4"/>
      <c r="X428" s="4"/>
      <c r="Y428" s="4"/>
      <c r="Z428" s="4"/>
    </row>
    <row r="429" spans="1:26" ht="14.25" customHeight="1" x14ac:dyDescent="0.3">
      <c r="A429" s="35"/>
      <c r="B429" s="4"/>
      <c r="C429" s="4"/>
      <c r="D429" s="4"/>
      <c r="E429" s="4"/>
      <c r="F429" s="4"/>
      <c r="G429" s="4"/>
      <c r="H429" s="4"/>
      <c r="I429" s="4"/>
      <c r="J429" s="18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4"/>
      <c r="X429" s="4"/>
      <c r="Y429" s="4"/>
      <c r="Z429" s="4"/>
    </row>
    <row r="430" spans="1:26" ht="14.25" customHeight="1" x14ac:dyDescent="0.3">
      <c r="A430" s="35"/>
      <c r="B430" s="4"/>
      <c r="C430" s="4"/>
      <c r="D430" s="4"/>
      <c r="E430" s="4"/>
      <c r="F430" s="4"/>
      <c r="G430" s="4"/>
      <c r="H430" s="4"/>
      <c r="I430" s="4"/>
      <c r="J430" s="18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4"/>
      <c r="X430" s="4"/>
      <c r="Y430" s="4"/>
      <c r="Z430" s="4"/>
    </row>
    <row r="431" spans="1:26" ht="14.25" customHeight="1" x14ac:dyDescent="0.3">
      <c r="A431" s="35"/>
      <c r="B431" s="4"/>
      <c r="C431" s="4"/>
      <c r="D431" s="4"/>
      <c r="E431" s="4"/>
      <c r="F431" s="4"/>
      <c r="G431" s="4"/>
      <c r="H431" s="4"/>
      <c r="I431" s="4"/>
      <c r="J431" s="18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4"/>
      <c r="X431" s="4"/>
      <c r="Y431" s="4"/>
      <c r="Z431" s="4"/>
    </row>
    <row r="432" spans="1:26" ht="14.25" customHeight="1" x14ac:dyDescent="0.3">
      <c r="A432" s="35"/>
      <c r="B432" s="4"/>
      <c r="C432" s="4"/>
      <c r="D432" s="4"/>
      <c r="E432" s="4"/>
      <c r="F432" s="4"/>
      <c r="G432" s="4"/>
      <c r="H432" s="4"/>
      <c r="I432" s="4"/>
      <c r="J432" s="18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4"/>
      <c r="X432" s="4"/>
      <c r="Y432" s="4"/>
      <c r="Z432" s="4"/>
    </row>
    <row r="433" spans="1:26" ht="14.25" customHeight="1" x14ac:dyDescent="0.3">
      <c r="A433" s="35"/>
      <c r="B433" s="4"/>
      <c r="C433" s="4"/>
      <c r="D433" s="4"/>
      <c r="E433" s="4"/>
      <c r="F433" s="4"/>
      <c r="G433" s="4"/>
      <c r="H433" s="4"/>
      <c r="I433" s="4"/>
      <c r="J433" s="18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4"/>
      <c r="X433" s="4"/>
      <c r="Y433" s="4"/>
      <c r="Z433" s="4"/>
    </row>
    <row r="434" spans="1:26" ht="14.25" customHeight="1" x14ac:dyDescent="0.3">
      <c r="A434" s="35"/>
      <c r="B434" s="4"/>
      <c r="C434" s="4"/>
      <c r="D434" s="4"/>
      <c r="E434" s="4"/>
      <c r="F434" s="4"/>
      <c r="G434" s="4"/>
      <c r="H434" s="4"/>
      <c r="I434" s="4"/>
      <c r="J434" s="18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4"/>
      <c r="X434" s="4"/>
      <c r="Y434" s="4"/>
      <c r="Z434" s="4"/>
    </row>
    <row r="435" spans="1:26" ht="14.25" customHeight="1" x14ac:dyDescent="0.3">
      <c r="A435" s="35"/>
      <c r="B435" s="4"/>
      <c r="C435" s="4"/>
      <c r="D435" s="4"/>
      <c r="E435" s="4"/>
      <c r="F435" s="4"/>
      <c r="G435" s="4"/>
      <c r="H435" s="4"/>
      <c r="I435" s="4"/>
      <c r="J435" s="18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4"/>
      <c r="X435" s="4"/>
      <c r="Y435" s="4"/>
      <c r="Z435" s="4"/>
    </row>
    <row r="436" spans="1:26" ht="14.25" customHeight="1" x14ac:dyDescent="0.3">
      <c r="A436" s="35"/>
      <c r="B436" s="4"/>
      <c r="C436" s="4"/>
      <c r="D436" s="4"/>
      <c r="E436" s="4"/>
      <c r="F436" s="4"/>
      <c r="G436" s="4"/>
      <c r="H436" s="4"/>
      <c r="I436" s="4"/>
      <c r="J436" s="18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4"/>
      <c r="X436" s="4"/>
      <c r="Y436" s="4"/>
      <c r="Z436" s="4"/>
    </row>
    <row r="437" spans="1:26" ht="14.25" customHeight="1" x14ac:dyDescent="0.3">
      <c r="A437" s="35"/>
      <c r="B437" s="4"/>
      <c r="C437" s="4"/>
      <c r="D437" s="4"/>
      <c r="E437" s="4"/>
      <c r="F437" s="4"/>
      <c r="G437" s="4"/>
      <c r="H437" s="4"/>
      <c r="I437" s="4"/>
      <c r="J437" s="18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4"/>
      <c r="X437" s="4"/>
      <c r="Y437" s="4"/>
      <c r="Z437" s="4"/>
    </row>
    <row r="438" spans="1:26" ht="14.25" customHeight="1" x14ac:dyDescent="0.3">
      <c r="A438" s="35"/>
      <c r="B438" s="4"/>
      <c r="C438" s="4"/>
      <c r="D438" s="4"/>
      <c r="E438" s="4"/>
      <c r="F438" s="4"/>
      <c r="G438" s="4"/>
      <c r="H438" s="4"/>
      <c r="I438" s="4"/>
      <c r="J438" s="18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4"/>
      <c r="X438" s="4"/>
      <c r="Y438" s="4"/>
      <c r="Z438" s="4"/>
    </row>
    <row r="439" spans="1:26" ht="14.25" customHeight="1" x14ac:dyDescent="0.3">
      <c r="A439" s="35"/>
      <c r="B439" s="4"/>
      <c r="C439" s="4"/>
      <c r="D439" s="4"/>
      <c r="E439" s="4"/>
      <c r="F439" s="4"/>
      <c r="G439" s="4"/>
      <c r="H439" s="4"/>
      <c r="I439" s="4"/>
      <c r="J439" s="18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4"/>
      <c r="X439" s="4"/>
      <c r="Y439" s="4"/>
      <c r="Z439" s="4"/>
    </row>
    <row r="440" spans="1:26" ht="14.25" customHeight="1" x14ac:dyDescent="0.3">
      <c r="A440" s="35"/>
      <c r="B440" s="4"/>
      <c r="C440" s="4"/>
      <c r="D440" s="4"/>
      <c r="E440" s="4"/>
      <c r="F440" s="4"/>
      <c r="G440" s="4"/>
      <c r="H440" s="4"/>
      <c r="I440" s="4"/>
      <c r="J440" s="18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4"/>
      <c r="X440" s="4"/>
      <c r="Y440" s="4"/>
      <c r="Z440" s="4"/>
    </row>
    <row r="441" spans="1:26" ht="14.25" customHeight="1" x14ac:dyDescent="0.3">
      <c r="A441" s="35"/>
      <c r="B441" s="4"/>
      <c r="C441" s="4"/>
      <c r="D441" s="4"/>
      <c r="E441" s="4"/>
      <c r="F441" s="4"/>
      <c r="G441" s="4"/>
      <c r="H441" s="4"/>
      <c r="I441" s="4"/>
      <c r="J441" s="18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4"/>
      <c r="X441" s="4"/>
      <c r="Y441" s="4"/>
      <c r="Z441" s="4"/>
    </row>
    <row r="442" spans="1:26" ht="14.25" customHeight="1" x14ac:dyDescent="0.3">
      <c r="A442" s="35"/>
      <c r="B442" s="4"/>
      <c r="C442" s="4"/>
      <c r="D442" s="4"/>
      <c r="E442" s="4"/>
      <c r="F442" s="4"/>
      <c r="G442" s="4"/>
      <c r="H442" s="4"/>
      <c r="I442" s="4"/>
      <c r="J442" s="18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4"/>
      <c r="X442" s="4"/>
      <c r="Y442" s="4"/>
      <c r="Z442" s="4"/>
    </row>
    <row r="443" spans="1:26" ht="14.25" customHeight="1" x14ac:dyDescent="0.3">
      <c r="A443" s="35"/>
      <c r="B443" s="4"/>
      <c r="C443" s="4"/>
      <c r="D443" s="4"/>
      <c r="E443" s="4"/>
      <c r="F443" s="4"/>
      <c r="G443" s="4"/>
      <c r="H443" s="4"/>
      <c r="I443" s="4"/>
      <c r="J443" s="18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4"/>
      <c r="X443" s="4"/>
      <c r="Y443" s="4"/>
      <c r="Z443" s="4"/>
    </row>
    <row r="444" spans="1:26" ht="14.25" customHeight="1" x14ac:dyDescent="0.3">
      <c r="A444" s="35"/>
      <c r="B444" s="4"/>
      <c r="C444" s="4"/>
      <c r="D444" s="4"/>
      <c r="E444" s="4"/>
      <c r="F444" s="4"/>
      <c r="G444" s="4"/>
      <c r="H444" s="4"/>
      <c r="I444" s="4"/>
      <c r="J444" s="18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4"/>
      <c r="X444" s="4"/>
      <c r="Y444" s="4"/>
      <c r="Z444" s="4"/>
    </row>
    <row r="445" spans="1:26" ht="14.25" customHeight="1" x14ac:dyDescent="0.3">
      <c r="A445" s="35"/>
      <c r="B445" s="4"/>
      <c r="C445" s="4"/>
      <c r="D445" s="4"/>
      <c r="E445" s="4"/>
      <c r="F445" s="4"/>
      <c r="G445" s="4"/>
      <c r="H445" s="4"/>
      <c r="I445" s="4"/>
      <c r="J445" s="18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4"/>
      <c r="X445" s="4"/>
      <c r="Y445" s="4"/>
      <c r="Z445" s="4"/>
    </row>
    <row r="446" spans="1:26" ht="14.25" customHeight="1" x14ac:dyDescent="0.3">
      <c r="A446" s="35"/>
      <c r="B446" s="4"/>
      <c r="C446" s="4"/>
      <c r="D446" s="4"/>
      <c r="E446" s="4"/>
      <c r="F446" s="4"/>
      <c r="G446" s="4"/>
      <c r="H446" s="4"/>
      <c r="I446" s="4"/>
      <c r="J446" s="18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4"/>
      <c r="X446" s="4"/>
      <c r="Y446" s="4"/>
      <c r="Z446" s="4"/>
    </row>
    <row r="447" spans="1:26" ht="14.25" customHeight="1" x14ac:dyDescent="0.3">
      <c r="A447" s="35"/>
      <c r="B447" s="4"/>
      <c r="C447" s="4"/>
      <c r="D447" s="4"/>
      <c r="E447" s="4"/>
      <c r="F447" s="4"/>
      <c r="G447" s="4"/>
      <c r="H447" s="4"/>
      <c r="I447" s="4"/>
      <c r="J447" s="18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4"/>
      <c r="X447" s="4"/>
      <c r="Y447" s="4"/>
      <c r="Z447" s="4"/>
    </row>
    <row r="448" spans="1:26" ht="14.25" customHeight="1" x14ac:dyDescent="0.3">
      <c r="A448" s="35"/>
      <c r="B448" s="4"/>
      <c r="C448" s="4"/>
      <c r="D448" s="4"/>
      <c r="E448" s="4"/>
      <c r="F448" s="4"/>
      <c r="G448" s="4"/>
      <c r="H448" s="4"/>
      <c r="I448" s="4"/>
      <c r="J448" s="18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4"/>
      <c r="X448" s="4"/>
      <c r="Y448" s="4"/>
      <c r="Z448" s="4"/>
    </row>
    <row r="449" spans="1:26" ht="14.25" customHeight="1" x14ac:dyDescent="0.3">
      <c r="A449" s="35"/>
      <c r="B449" s="4"/>
      <c r="C449" s="4"/>
      <c r="D449" s="4"/>
      <c r="E449" s="4"/>
      <c r="F449" s="4"/>
      <c r="G449" s="4"/>
      <c r="H449" s="4"/>
      <c r="I449" s="4"/>
      <c r="J449" s="18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4"/>
      <c r="X449" s="4"/>
      <c r="Y449" s="4"/>
      <c r="Z449" s="4"/>
    </row>
    <row r="450" spans="1:26" ht="14.25" customHeight="1" x14ac:dyDescent="0.3">
      <c r="A450" s="35"/>
      <c r="B450" s="4"/>
      <c r="C450" s="4"/>
      <c r="D450" s="4"/>
      <c r="E450" s="4"/>
      <c r="F450" s="4"/>
      <c r="G450" s="4"/>
      <c r="H450" s="4"/>
      <c r="I450" s="4"/>
      <c r="J450" s="18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4"/>
      <c r="X450" s="4"/>
      <c r="Y450" s="4"/>
      <c r="Z450" s="4"/>
    </row>
    <row r="451" spans="1:26" ht="14.25" customHeight="1" x14ac:dyDescent="0.3">
      <c r="A451" s="35"/>
      <c r="B451" s="4"/>
      <c r="C451" s="4"/>
      <c r="D451" s="4"/>
      <c r="E451" s="4"/>
      <c r="F451" s="4"/>
      <c r="G451" s="4"/>
      <c r="H451" s="4"/>
      <c r="I451" s="4"/>
      <c r="J451" s="18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4"/>
      <c r="X451" s="4"/>
      <c r="Y451" s="4"/>
      <c r="Z451" s="4"/>
    </row>
    <row r="452" spans="1:26" ht="14.25" customHeight="1" x14ac:dyDescent="0.3">
      <c r="A452" s="35"/>
      <c r="B452" s="4"/>
      <c r="C452" s="4"/>
      <c r="D452" s="4"/>
      <c r="E452" s="4"/>
      <c r="F452" s="4"/>
      <c r="G452" s="4"/>
      <c r="H452" s="4"/>
      <c r="I452" s="4"/>
      <c r="J452" s="18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4"/>
      <c r="X452" s="4"/>
      <c r="Y452" s="4"/>
      <c r="Z452" s="4"/>
    </row>
    <row r="453" spans="1:26" ht="14.25" customHeight="1" x14ac:dyDescent="0.3">
      <c r="A453" s="35"/>
      <c r="B453" s="4"/>
      <c r="C453" s="4"/>
      <c r="D453" s="4"/>
      <c r="E453" s="4"/>
      <c r="F453" s="4"/>
      <c r="G453" s="4"/>
      <c r="H453" s="4"/>
      <c r="I453" s="4"/>
      <c r="J453" s="18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4"/>
      <c r="X453" s="4"/>
      <c r="Y453" s="4"/>
      <c r="Z453" s="4"/>
    </row>
    <row r="454" spans="1:26" ht="14.25" customHeight="1" x14ac:dyDescent="0.3">
      <c r="A454" s="35"/>
      <c r="B454" s="4"/>
      <c r="C454" s="4"/>
      <c r="D454" s="4"/>
      <c r="E454" s="4"/>
      <c r="F454" s="4"/>
      <c r="G454" s="4"/>
      <c r="H454" s="4"/>
      <c r="I454" s="4"/>
      <c r="J454" s="18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4"/>
      <c r="X454" s="4"/>
      <c r="Y454" s="4"/>
      <c r="Z454" s="4"/>
    </row>
    <row r="455" spans="1:26" ht="14.25" customHeight="1" x14ac:dyDescent="0.3">
      <c r="A455" s="35"/>
      <c r="B455" s="4"/>
      <c r="C455" s="4"/>
      <c r="D455" s="4"/>
      <c r="E455" s="4"/>
      <c r="F455" s="4"/>
      <c r="G455" s="4"/>
      <c r="H455" s="4"/>
      <c r="I455" s="4"/>
      <c r="J455" s="18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4"/>
      <c r="X455" s="4"/>
      <c r="Y455" s="4"/>
      <c r="Z455" s="4"/>
    </row>
    <row r="456" spans="1:26" ht="14.25" customHeight="1" x14ac:dyDescent="0.3">
      <c r="A456" s="35"/>
      <c r="B456" s="4"/>
      <c r="C456" s="4"/>
      <c r="D456" s="4"/>
      <c r="E456" s="4"/>
      <c r="F456" s="4"/>
      <c r="G456" s="4"/>
      <c r="H456" s="4"/>
      <c r="I456" s="4"/>
      <c r="J456" s="18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4"/>
      <c r="X456" s="4"/>
      <c r="Y456" s="4"/>
      <c r="Z456" s="4"/>
    </row>
    <row r="457" spans="1:26" ht="14.25" customHeight="1" x14ac:dyDescent="0.3">
      <c r="A457" s="35"/>
      <c r="B457" s="4"/>
      <c r="C457" s="4"/>
      <c r="D457" s="4"/>
      <c r="E457" s="4"/>
      <c r="F457" s="4"/>
      <c r="G457" s="4"/>
      <c r="H457" s="4"/>
      <c r="I457" s="4"/>
      <c r="J457" s="18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4"/>
      <c r="X457" s="4"/>
      <c r="Y457" s="4"/>
      <c r="Z457" s="4"/>
    </row>
    <row r="458" spans="1:26" ht="14.25" customHeight="1" x14ac:dyDescent="0.3">
      <c r="A458" s="35"/>
      <c r="B458" s="4"/>
      <c r="C458" s="4"/>
      <c r="D458" s="4"/>
      <c r="E458" s="4"/>
      <c r="F458" s="4"/>
      <c r="G458" s="4"/>
      <c r="H458" s="4"/>
      <c r="I458" s="4"/>
      <c r="J458" s="18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4"/>
      <c r="X458" s="4"/>
      <c r="Y458" s="4"/>
      <c r="Z458" s="4"/>
    </row>
    <row r="459" spans="1:26" ht="14.25" customHeight="1" x14ac:dyDescent="0.3">
      <c r="A459" s="35"/>
      <c r="B459" s="4"/>
      <c r="C459" s="4"/>
      <c r="D459" s="4"/>
      <c r="E459" s="4"/>
      <c r="F459" s="4"/>
      <c r="G459" s="4"/>
      <c r="H459" s="4"/>
      <c r="I459" s="4"/>
      <c r="J459" s="18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4"/>
      <c r="X459" s="4"/>
      <c r="Y459" s="4"/>
      <c r="Z459" s="4"/>
    </row>
    <row r="460" spans="1:26" ht="14.25" customHeight="1" x14ac:dyDescent="0.3">
      <c r="A460" s="35"/>
      <c r="B460" s="4"/>
      <c r="C460" s="4"/>
      <c r="D460" s="4"/>
      <c r="E460" s="4"/>
      <c r="F460" s="4"/>
      <c r="G460" s="4"/>
      <c r="H460" s="4"/>
      <c r="I460" s="4"/>
      <c r="J460" s="18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4"/>
      <c r="X460" s="4"/>
      <c r="Y460" s="4"/>
      <c r="Z460" s="4"/>
    </row>
    <row r="461" spans="1:26" ht="14.25" customHeight="1" x14ac:dyDescent="0.3">
      <c r="A461" s="35"/>
      <c r="B461" s="4"/>
      <c r="C461" s="4"/>
      <c r="D461" s="4"/>
      <c r="E461" s="4"/>
      <c r="F461" s="4"/>
      <c r="G461" s="4"/>
      <c r="H461" s="4"/>
      <c r="I461" s="4"/>
      <c r="J461" s="18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4"/>
      <c r="X461" s="4"/>
      <c r="Y461" s="4"/>
      <c r="Z461" s="4"/>
    </row>
    <row r="462" spans="1:26" ht="14.25" customHeight="1" x14ac:dyDescent="0.3">
      <c r="A462" s="35"/>
      <c r="B462" s="4"/>
      <c r="C462" s="4"/>
      <c r="D462" s="4"/>
      <c r="E462" s="4"/>
      <c r="F462" s="4"/>
      <c r="G462" s="4"/>
      <c r="H462" s="4"/>
      <c r="I462" s="4"/>
      <c r="J462" s="18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4"/>
      <c r="X462" s="4"/>
      <c r="Y462" s="4"/>
      <c r="Z462" s="4"/>
    </row>
    <row r="463" spans="1:26" ht="14.25" customHeight="1" x14ac:dyDescent="0.3">
      <c r="A463" s="35"/>
      <c r="B463" s="4"/>
      <c r="C463" s="4"/>
      <c r="D463" s="4"/>
      <c r="E463" s="4"/>
      <c r="F463" s="4"/>
      <c r="G463" s="4"/>
      <c r="H463" s="4"/>
      <c r="I463" s="4"/>
      <c r="J463" s="18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4"/>
      <c r="X463" s="4"/>
      <c r="Y463" s="4"/>
      <c r="Z463" s="4"/>
    </row>
    <row r="464" spans="1:26" ht="14.25" customHeight="1" x14ac:dyDescent="0.3">
      <c r="A464" s="35"/>
      <c r="B464" s="4"/>
      <c r="C464" s="4"/>
      <c r="D464" s="4"/>
      <c r="E464" s="4"/>
      <c r="F464" s="4"/>
      <c r="G464" s="4"/>
      <c r="H464" s="4"/>
      <c r="I464" s="4"/>
      <c r="J464" s="18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4"/>
      <c r="X464" s="4"/>
      <c r="Y464" s="4"/>
      <c r="Z464" s="4"/>
    </row>
    <row r="465" spans="1:26" ht="14.25" customHeight="1" x14ac:dyDescent="0.3">
      <c r="A465" s="35"/>
      <c r="B465" s="4"/>
      <c r="C465" s="4"/>
      <c r="D465" s="4"/>
      <c r="E465" s="4"/>
      <c r="F465" s="4"/>
      <c r="G465" s="4"/>
      <c r="H465" s="4"/>
      <c r="I465" s="4"/>
      <c r="J465" s="18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4"/>
      <c r="X465" s="4"/>
      <c r="Y465" s="4"/>
      <c r="Z465" s="4"/>
    </row>
    <row r="466" spans="1:26" ht="14.25" customHeight="1" x14ac:dyDescent="0.3">
      <c r="A466" s="35"/>
      <c r="B466" s="4"/>
      <c r="C466" s="4"/>
      <c r="D466" s="4"/>
      <c r="E466" s="4"/>
      <c r="F466" s="4"/>
      <c r="G466" s="4"/>
      <c r="H466" s="4"/>
      <c r="I466" s="4"/>
      <c r="J466" s="18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4"/>
      <c r="X466" s="4"/>
      <c r="Y466" s="4"/>
      <c r="Z466" s="4"/>
    </row>
    <row r="467" spans="1:26" ht="14.25" customHeight="1" x14ac:dyDescent="0.3">
      <c r="A467" s="35"/>
      <c r="B467" s="4"/>
      <c r="C467" s="4"/>
      <c r="D467" s="4"/>
      <c r="E467" s="4"/>
      <c r="F467" s="4"/>
      <c r="G467" s="4"/>
      <c r="H467" s="4"/>
      <c r="I467" s="4"/>
      <c r="J467" s="18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4"/>
      <c r="X467" s="4"/>
      <c r="Y467" s="4"/>
      <c r="Z467" s="4"/>
    </row>
    <row r="468" spans="1:26" ht="14.25" customHeight="1" x14ac:dyDescent="0.3">
      <c r="A468" s="35"/>
      <c r="B468" s="4"/>
      <c r="C468" s="4"/>
      <c r="D468" s="4"/>
      <c r="E468" s="4"/>
      <c r="F468" s="4"/>
      <c r="G468" s="4"/>
      <c r="H468" s="4"/>
      <c r="I468" s="4"/>
      <c r="J468" s="18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4"/>
      <c r="X468" s="4"/>
      <c r="Y468" s="4"/>
      <c r="Z468" s="4"/>
    </row>
    <row r="469" spans="1:26" ht="14.25" customHeight="1" x14ac:dyDescent="0.3">
      <c r="A469" s="35"/>
      <c r="B469" s="4"/>
      <c r="C469" s="4"/>
      <c r="D469" s="4"/>
      <c r="E469" s="4"/>
      <c r="F469" s="4"/>
      <c r="G469" s="4"/>
      <c r="H469" s="4"/>
      <c r="I469" s="4"/>
      <c r="J469" s="18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4"/>
      <c r="X469" s="4"/>
      <c r="Y469" s="4"/>
      <c r="Z469" s="4"/>
    </row>
    <row r="470" spans="1:26" ht="14.25" customHeight="1" x14ac:dyDescent="0.3">
      <c r="A470" s="35"/>
      <c r="B470" s="4"/>
      <c r="C470" s="4"/>
      <c r="D470" s="4"/>
      <c r="E470" s="4"/>
      <c r="F470" s="4"/>
      <c r="G470" s="4"/>
      <c r="H470" s="4"/>
      <c r="I470" s="4"/>
      <c r="J470" s="18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4"/>
      <c r="X470" s="4"/>
      <c r="Y470" s="4"/>
      <c r="Z470" s="4"/>
    </row>
    <row r="471" spans="1:26" ht="14.25" customHeight="1" x14ac:dyDescent="0.3">
      <c r="A471" s="35"/>
      <c r="B471" s="4"/>
      <c r="C471" s="4"/>
      <c r="D471" s="4"/>
      <c r="E471" s="4"/>
      <c r="F471" s="4"/>
      <c r="G471" s="4"/>
      <c r="H471" s="4"/>
      <c r="I471" s="4"/>
      <c r="J471" s="18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4"/>
      <c r="X471" s="4"/>
      <c r="Y471" s="4"/>
      <c r="Z471" s="4"/>
    </row>
    <row r="472" spans="1:26" ht="14.25" customHeight="1" x14ac:dyDescent="0.3">
      <c r="A472" s="35"/>
      <c r="B472" s="4"/>
      <c r="C472" s="4"/>
      <c r="D472" s="4"/>
      <c r="E472" s="4"/>
      <c r="F472" s="4"/>
      <c r="G472" s="4"/>
      <c r="H472" s="4"/>
      <c r="I472" s="4"/>
      <c r="J472" s="18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4"/>
      <c r="X472" s="4"/>
      <c r="Y472" s="4"/>
      <c r="Z472" s="4"/>
    </row>
    <row r="473" spans="1:26" ht="14.25" customHeight="1" x14ac:dyDescent="0.3">
      <c r="A473" s="35"/>
      <c r="B473" s="4"/>
      <c r="C473" s="4"/>
      <c r="D473" s="4"/>
      <c r="E473" s="4"/>
      <c r="F473" s="4"/>
      <c r="G473" s="4"/>
      <c r="H473" s="4"/>
      <c r="I473" s="4"/>
      <c r="J473" s="18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4"/>
      <c r="X473" s="4"/>
      <c r="Y473" s="4"/>
      <c r="Z473" s="4"/>
    </row>
    <row r="474" spans="1:26" ht="14.25" customHeight="1" x14ac:dyDescent="0.3">
      <c r="A474" s="35"/>
      <c r="B474" s="4"/>
      <c r="C474" s="4"/>
      <c r="D474" s="4"/>
      <c r="E474" s="4"/>
      <c r="F474" s="4"/>
      <c r="G474" s="4"/>
      <c r="H474" s="4"/>
      <c r="I474" s="4"/>
      <c r="J474" s="18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4"/>
      <c r="X474" s="4"/>
      <c r="Y474" s="4"/>
      <c r="Z474" s="4"/>
    </row>
    <row r="475" spans="1:26" ht="14.25" customHeight="1" x14ac:dyDescent="0.3">
      <c r="A475" s="35"/>
      <c r="B475" s="4"/>
      <c r="C475" s="4"/>
      <c r="D475" s="4"/>
      <c r="E475" s="4"/>
      <c r="F475" s="4"/>
      <c r="G475" s="4"/>
      <c r="H475" s="4"/>
      <c r="I475" s="4"/>
      <c r="J475" s="18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4"/>
      <c r="X475" s="4"/>
      <c r="Y475" s="4"/>
      <c r="Z475" s="4"/>
    </row>
    <row r="476" spans="1:26" ht="14.25" customHeight="1" x14ac:dyDescent="0.3">
      <c r="A476" s="35"/>
      <c r="B476" s="4"/>
      <c r="C476" s="4"/>
      <c r="D476" s="4"/>
      <c r="E476" s="4"/>
      <c r="F476" s="4"/>
      <c r="G476" s="4"/>
      <c r="H476" s="4"/>
      <c r="I476" s="4"/>
      <c r="J476" s="18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4"/>
      <c r="X476" s="4"/>
      <c r="Y476" s="4"/>
      <c r="Z476" s="4"/>
    </row>
    <row r="477" spans="1:26" ht="14.25" customHeight="1" x14ac:dyDescent="0.3">
      <c r="A477" s="35"/>
      <c r="B477" s="4"/>
      <c r="C477" s="4"/>
      <c r="D477" s="4"/>
      <c r="E477" s="4"/>
      <c r="F477" s="4"/>
      <c r="G477" s="4"/>
      <c r="H477" s="4"/>
      <c r="I477" s="4"/>
      <c r="J477" s="18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4"/>
      <c r="X477" s="4"/>
      <c r="Y477" s="4"/>
      <c r="Z477" s="4"/>
    </row>
    <row r="478" spans="1:26" ht="14.25" customHeight="1" x14ac:dyDescent="0.3">
      <c r="A478" s="35"/>
      <c r="B478" s="4"/>
      <c r="C478" s="4"/>
      <c r="D478" s="4"/>
      <c r="E478" s="4"/>
      <c r="F478" s="4"/>
      <c r="G478" s="4"/>
      <c r="H478" s="4"/>
      <c r="I478" s="4"/>
      <c r="J478" s="18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4"/>
      <c r="X478" s="4"/>
      <c r="Y478" s="4"/>
      <c r="Z478" s="4"/>
    </row>
    <row r="479" spans="1:26" ht="14.25" customHeight="1" x14ac:dyDescent="0.3">
      <c r="A479" s="35"/>
      <c r="B479" s="4"/>
      <c r="C479" s="4"/>
      <c r="D479" s="4"/>
      <c r="E479" s="4"/>
      <c r="F479" s="4"/>
      <c r="G479" s="4"/>
      <c r="H479" s="4"/>
      <c r="I479" s="4"/>
      <c r="J479" s="18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4"/>
      <c r="X479" s="4"/>
      <c r="Y479" s="4"/>
      <c r="Z479" s="4"/>
    </row>
    <row r="480" spans="1:26" ht="14.25" customHeight="1" x14ac:dyDescent="0.3">
      <c r="A480" s="35"/>
      <c r="B480" s="4"/>
      <c r="C480" s="4"/>
      <c r="D480" s="4"/>
      <c r="E480" s="4"/>
      <c r="F480" s="4"/>
      <c r="G480" s="4"/>
      <c r="H480" s="4"/>
      <c r="I480" s="4"/>
      <c r="J480" s="18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4"/>
      <c r="X480" s="4"/>
      <c r="Y480" s="4"/>
      <c r="Z480" s="4"/>
    </row>
    <row r="481" spans="1:26" ht="14.25" customHeight="1" x14ac:dyDescent="0.3">
      <c r="A481" s="35"/>
      <c r="B481" s="4"/>
      <c r="C481" s="4"/>
      <c r="D481" s="4"/>
      <c r="E481" s="4"/>
      <c r="F481" s="4"/>
      <c r="G481" s="4"/>
      <c r="H481" s="4"/>
      <c r="I481" s="4"/>
      <c r="J481" s="18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4"/>
      <c r="X481" s="4"/>
      <c r="Y481" s="4"/>
      <c r="Z481" s="4"/>
    </row>
    <row r="482" spans="1:26" ht="14.25" customHeight="1" x14ac:dyDescent="0.3">
      <c r="A482" s="35"/>
      <c r="B482" s="4"/>
      <c r="C482" s="4"/>
      <c r="D482" s="4"/>
      <c r="E482" s="4"/>
      <c r="F482" s="4"/>
      <c r="G482" s="4"/>
      <c r="H482" s="4"/>
      <c r="I482" s="4"/>
      <c r="J482" s="18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4"/>
      <c r="X482" s="4"/>
      <c r="Y482" s="4"/>
      <c r="Z482" s="4"/>
    </row>
    <row r="483" spans="1:26" ht="14.25" customHeight="1" x14ac:dyDescent="0.3">
      <c r="A483" s="35"/>
      <c r="B483" s="4"/>
      <c r="C483" s="4"/>
      <c r="D483" s="4"/>
      <c r="E483" s="4"/>
      <c r="F483" s="4"/>
      <c r="G483" s="4"/>
      <c r="H483" s="4"/>
      <c r="I483" s="4"/>
      <c r="J483" s="18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4"/>
      <c r="X483" s="4"/>
      <c r="Y483" s="4"/>
      <c r="Z483" s="4"/>
    </row>
    <row r="484" spans="1:26" ht="14.25" customHeight="1" x14ac:dyDescent="0.3">
      <c r="A484" s="35"/>
      <c r="B484" s="4"/>
      <c r="C484" s="4"/>
      <c r="D484" s="4"/>
      <c r="E484" s="4"/>
      <c r="F484" s="4"/>
      <c r="G484" s="4"/>
      <c r="H484" s="4"/>
      <c r="I484" s="4"/>
      <c r="J484" s="18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4"/>
      <c r="X484" s="4"/>
      <c r="Y484" s="4"/>
      <c r="Z484" s="4"/>
    </row>
    <row r="485" spans="1:26" ht="14.25" customHeight="1" x14ac:dyDescent="0.3">
      <c r="A485" s="35"/>
      <c r="B485" s="4"/>
      <c r="C485" s="4"/>
      <c r="D485" s="4"/>
      <c r="E485" s="4"/>
      <c r="F485" s="4"/>
      <c r="G485" s="4"/>
      <c r="H485" s="4"/>
      <c r="I485" s="4"/>
      <c r="J485" s="18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4"/>
      <c r="X485" s="4"/>
      <c r="Y485" s="4"/>
      <c r="Z485" s="4"/>
    </row>
    <row r="486" spans="1:26" ht="14.25" customHeight="1" x14ac:dyDescent="0.3">
      <c r="A486" s="35"/>
      <c r="B486" s="4"/>
      <c r="C486" s="4"/>
      <c r="D486" s="4"/>
      <c r="E486" s="4"/>
      <c r="F486" s="4"/>
      <c r="G486" s="4"/>
      <c r="H486" s="4"/>
      <c r="I486" s="4"/>
      <c r="J486" s="18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4"/>
      <c r="X486" s="4"/>
      <c r="Y486" s="4"/>
      <c r="Z486" s="4"/>
    </row>
    <row r="487" spans="1:26" ht="14.25" customHeight="1" x14ac:dyDescent="0.3">
      <c r="A487" s="35"/>
      <c r="B487" s="4"/>
      <c r="C487" s="4"/>
      <c r="D487" s="4"/>
      <c r="E487" s="4"/>
      <c r="F487" s="4"/>
      <c r="G487" s="4"/>
      <c r="H487" s="4"/>
      <c r="I487" s="4"/>
      <c r="J487" s="18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4"/>
      <c r="X487" s="4"/>
      <c r="Y487" s="4"/>
      <c r="Z487" s="4"/>
    </row>
    <row r="488" spans="1:26" ht="14.25" customHeight="1" x14ac:dyDescent="0.3">
      <c r="A488" s="35"/>
      <c r="B488" s="4"/>
      <c r="C488" s="4"/>
      <c r="D488" s="4"/>
      <c r="E488" s="4"/>
      <c r="F488" s="4"/>
      <c r="G488" s="4"/>
      <c r="H488" s="4"/>
      <c r="I488" s="4"/>
      <c r="J488" s="18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4"/>
      <c r="X488" s="4"/>
      <c r="Y488" s="4"/>
      <c r="Z488" s="4"/>
    </row>
    <row r="489" spans="1:26" ht="14.25" customHeight="1" x14ac:dyDescent="0.3">
      <c r="A489" s="35"/>
      <c r="B489" s="4"/>
      <c r="C489" s="4"/>
      <c r="D489" s="4"/>
      <c r="E489" s="4"/>
      <c r="F489" s="4"/>
      <c r="G489" s="4"/>
      <c r="H489" s="4"/>
      <c r="I489" s="4"/>
      <c r="J489" s="18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4"/>
      <c r="X489" s="4"/>
      <c r="Y489" s="4"/>
      <c r="Z489" s="4"/>
    </row>
    <row r="490" spans="1:26" ht="14.25" customHeight="1" x14ac:dyDescent="0.3">
      <c r="A490" s="35"/>
      <c r="B490" s="4"/>
      <c r="C490" s="4"/>
      <c r="D490" s="4"/>
      <c r="E490" s="4"/>
      <c r="F490" s="4"/>
      <c r="G490" s="4"/>
      <c r="H490" s="4"/>
      <c r="I490" s="4"/>
      <c r="J490" s="18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4"/>
      <c r="X490" s="4"/>
      <c r="Y490" s="4"/>
      <c r="Z490" s="4"/>
    </row>
    <row r="491" spans="1:26" ht="14.25" customHeight="1" x14ac:dyDescent="0.3">
      <c r="A491" s="35"/>
      <c r="B491" s="4"/>
      <c r="C491" s="4"/>
      <c r="D491" s="4"/>
      <c r="E491" s="4"/>
      <c r="F491" s="4"/>
      <c r="G491" s="4"/>
      <c r="H491" s="4"/>
      <c r="I491" s="4"/>
      <c r="J491" s="18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4"/>
      <c r="X491" s="4"/>
      <c r="Y491" s="4"/>
      <c r="Z491" s="4"/>
    </row>
    <row r="492" spans="1:26" ht="14.25" customHeight="1" x14ac:dyDescent="0.3">
      <c r="A492" s="35"/>
      <c r="B492" s="4"/>
      <c r="C492" s="4"/>
      <c r="D492" s="4"/>
      <c r="E492" s="4"/>
      <c r="F492" s="4"/>
      <c r="G492" s="4"/>
      <c r="H492" s="4"/>
      <c r="I492" s="4"/>
      <c r="J492" s="18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4"/>
      <c r="X492" s="4"/>
      <c r="Y492" s="4"/>
      <c r="Z492" s="4"/>
    </row>
    <row r="493" spans="1:26" ht="14.25" customHeight="1" x14ac:dyDescent="0.3">
      <c r="A493" s="35"/>
      <c r="B493" s="4"/>
      <c r="C493" s="4"/>
      <c r="D493" s="4"/>
      <c r="E493" s="4"/>
      <c r="F493" s="4"/>
      <c r="G493" s="4"/>
      <c r="H493" s="4"/>
      <c r="I493" s="4"/>
      <c r="J493" s="18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4"/>
      <c r="X493" s="4"/>
      <c r="Y493" s="4"/>
      <c r="Z493" s="4"/>
    </row>
    <row r="494" spans="1:26" ht="14.25" customHeight="1" x14ac:dyDescent="0.3">
      <c r="A494" s="35"/>
      <c r="B494" s="4"/>
      <c r="C494" s="4"/>
      <c r="D494" s="4"/>
      <c r="E494" s="4"/>
      <c r="F494" s="4"/>
      <c r="G494" s="4"/>
      <c r="H494" s="4"/>
      <c r="I494" s="4"/>
      <c r="J494" s="18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4"/>
      <c r="X494" s="4"/>
      <c r="Y494" s="4"/>
      <c r="Z494" s="4"/>
    </row>
    <row r="495" spans="1:26" ht="14.25" customHeight="1" x14ac:dyDescent="0.3">
      <c r="A495" s="35"/>
      <c r="B495" s="4"/>
      <c r="C495" s="4"/>
      <c r="D495" s="4"/>
      <c r="E495" s="4"/>
      <c r="F495" s="4"/>
      <c r="G495" s="4"/>
      <c r="H495" s="4"/>
      <c r="I495" s="4"/>
      <c r="J495" s="18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4"/>
      <c r="X495" s="4"/>
      <c r="Y495" s="4"/>
      <c r="Z495" s="4"/>
    </row>
    <row r="496" spans="1:26" ht="14.25" customHeight="1" x14ac:dyDescent="0.3">
      <c r="A496" s="35"/>
      <c r="B496" s="4"/>
      <c r="C496" s="4"/>
      <c r="D496" s="4"/>
      <c r="E496" s="4"/>
      <c r="F496" s="4"/>
      <c r="G496" s="4"/>
      <c r="H496" s="4"/>
      <c r="I496" s="4"/>
      <c r="J496" s="18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4"/>
      <c r="X496" s="4"/>
      <c r="Y496" s="4"/>
      <c r="Z496" s="4"/>
    </row>
    <row r="497" spans="1:26" ht="14.25" customHeight="1" x14ac:dyDescent="0.3">
      <c r="A497" s="35"/>
      <c r="B497" s="4"/>
      <c r="C497" s="4"/>
      <c r="D497" s="4"/>
      <c r="E497" s="4"/>
      <c r="F497" s="4"/>
      <c r="G497" s="4"/>
      <c r="H497" s="4"/>
      <c r="I497" s="4"/>
      <c r="J497" s="18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4"/>
      <c r="X497" s="4"/>
      <c r="Y497" s="4"/>
      <c r="Z497" s="4"/>
    </row>
    <row r="498" spans="1:26" ht="14.25" customHeight="1" x14ac:dyDescent="0.3">
      <c r="A498" s="35"/>
      <c r="B498" s="4"/>
      <c r="C498" s="4"/>
      <c r="D498" s="4"/>
      <c r="E498" s="4"/>
      <c r="F498" s="4"/>
      <c r="G498" s="4"/>
      <c r="H498" s="4"/>
      <c r="I498" s="4"/>
      <c r="J498" s="18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4"/>
      <c r="X498" s="4"/>
      <c r="Y498" s="4"/>
      <c r="Z498" s="4"/>
    </row>
    <row r="499" spans="1:26" ht="14.25" customHeight="1" x14ac:dyDescent="0.3">
      <c r="A499" s="35"/>
      <c r="B499" s="4"/>
      <c r="C499" s="4"/>
      <c r="D499" s="4"/>
      <c r="E499" s="4"/>
      <c r="F499" s="4"/>
      <c r="G499" s="4"/>
      <c r="H499" s="4"/>
      <c r="I499" s="4"/>
      <c r="J499" s="18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4"/>
      <c r="X499" s="4"/>
      <c r="Y499" s="4"/>
      <c r="Z499" s="4"/>
    </row>
    <row r="500" spans="1:26" ht="14.25" customHeight="1" x14ac:dyDescent="0.3">
      <c r="A500" s="35"/>
      <c r="B500" s="4"/>
      <c r="C500" s="4"/>
      <c r="D500" s="4"/>
      <c r="E500" s="4"/>
      <c r="F500" s="4"/>
      <c r="G500" s="4"/>
      <c r="H500" s="4"/>
      <c r="I500" s="4"/>
      <c r="J500" s="18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4"/>
      <c r="X500" s="4"/>
      <c r="Y500" s="4"/>
      <c r="Z500" s="4"/>
    </row>
    <row r="501" spans="1:26" ht="14.25" customHeight="1" x14ac:dyDescent="0.3">
      <c r="A501" s="35"/>
      <c r="B501" s="4"/>
      <c r="C501" s="4"/>
      <c r="D501" s="4"/>
      <c r="E501" s="4"/>
      <c r="F501" s="4"/>
      <c r="G501" s="4"/>
      <c r="H501" s="4"/>
      <c r="I501" s="4"/>
      <c r="J501" s="18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4"/>
      <c r="X501" s="4"/>
      <c r="Y501" s="4"/>
      <c r="Z501" s="4"/>
    </row>
    <row r="502" spans="1:26" ht="14.25" customHeight="1" x14ac:dyDescent="0.3">
      <c r="A502" s="35"/>
      <c r="B502" s="4"/>
      <c r="C502" s="4"/>
      <c r="D502" s="4"/>
      <c r="E502" s="4"/>
      <c r="F502" s="4"/>
      <c r="G502" s="4"/>
      <c r="H502" s="4"/>
      <c r="I502" s="4"/>
      <c r="J502" s="18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4"/>
      <c r="X502" s="4"/>
      <c r="Y502" s="4"/>
      <c r="Z502" s="4"/>
    </row>
    <row r="503" spans="1:26" ht="14.25" customHeight="1" x14ac:dyDescent="0.3">
      <c r="A503" s="35"/>
      <c r="B503" s="4"/>
      <c r="C503" s="4"/>
      <c r="D503" s="4"/>
      <c r="E503" s="4"/>
      <c r="F503" s="4"/>
      <c r="G503" s="4"/>
      <c r="H503" s="4"/>
      <c r="I503" s="4"/>
      <c r="J503" s="18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4"/>
      <c r="X503" s="4"/>
      <c r="Y503" s="4"/>
      <c r="Z503" s="4"/>
    </row>
    <row r="504" spans="1:26" ht="14.25" customHeight="1" x14ac:dyDescent="0.3">
      <c r="A504" s="35"/>
      <c r="B504" s="4"/>
      <c r="C504" s="4"/>
      <c r="D504" s="4"/>
      <c r="E504" s="4"/>
      <c r="F504" s="4"/>
      <c r="G504" s="4"/>
      <c r="H504" s="4"/>
      <c r="I504" s="4"/>
      <c r="J504" s="18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4"/>
      <c r="X504" s="4"/>
      <c r="Y504" s="4"/>
      <c r="Z504" s="4"/>
    </row>
    <row r="505" spans="1:26" ht="14.25" customHeight="1" x14ac:dyDescent="0.3">
      <c r="A505" s="35"/>
      <c r="B505" s="4"/>
      <c r="C505" s="4"/>
      <c r="D505" s="4"/>
      <c r="E505" s="4"/>
      <c r="F505" s="4"/>
      <c r="G505" s="4"/>
      <c r="H505" s="4"/>
      <c r="I505" s="4"/>
      <c r="J505" s="18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4"/>
      <c r="X505" s="4"/>
      <c r="Y505" s="4"/>
      <c r="Z505" s="4"/>
    </row>
    <row r="506" spans="1:26" ht="14.25" customHeight="1" x14ac:dyDescent="0.3">
      <c r="A506" s="35"/>
      <c r="B506" s="4"/>
      <c r="C506" s="4"/>
      <c r="D506" s="4"/>
      <c r="E506" s="4"/>
      <c r="F506" s="4"/>
      <c r="G506" s="4"/>
      <c r="H506" s="4"/>
      <c r="I506" s="4"/>
      <c r="J506" s="18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4"/>
      <c r="X506" s="4"/>
      <c r="Y506" s="4"/>
      <c r="Z506" s="4"/>
    </row>
    <row r="507" spans="1:26" ht="14.25" customHeight="1" x14ac:dyDescent="0.3">
      <c r="A507" s="35"/>
      <c r="B507" s="4"/>
      <c r="C507" s="4"/>
      <c r="D507" s="4"/>
      <c r="E507" s="4"/>
      <c r="F507" s="4"/>
      <c r="G507" s="4"/>
      <c r="H507" s="4"/>
      <c r="I507" s="4"/>
      <c r="J507" s="18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4"/>
      <c r="X507" s="4"/>
      <c r="Y507" s="4"/>
      <c r="Z507" s="4"/>
    </row>
    <row r="508" spans="1:26" ht="14.25" customHeight="1" x14ac:dyDescent="0.3">
      <c r="A508" s="35"/>
      <c r="B508" s="4"/>
      <c r="C508" s="4"/>
      <c r="D508" s="4"/>
      <c r="E508" s="4"/>
      <c r="F508" s="4"/>
      <c r="G508" s="4"/>
      <c r="H508" s="4"/>
      <c r="I508" s="4"/>
      <c r="J508" s="18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4"/>
      <c r="X508" s="4"/>
      <c r="Y508" s="4"/>
      <c r="Z508" s="4"/>
    </row>
    <row r="509" spans="1:26" ht="14.25" customHeight="1" x14ac:dyDescent="0.3">
      <c r="A509" s="35"/>
      <c r="B509" s="4"/>
      <c r="C509" s="4"/>
      <c r="D509" s="4"/>
      <c r="E509" s="4"/>
      <c r="F509" s="4"/>
      <c r="G509" s="4"/>
      <c r="H509" s="4"/>
      <c r="I509" s="4"/>
      <c r="J509" s="18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4"/>
      <c r="X509" s="4"/>
      <c r="Y509" s="4"/>
      <c r="Z509" s="4"/>
    </row>
    <row r="510" spans="1:26" ht="14.25" customHeight="1" x14ac:dyDescent="0.3">
      <c r="A510" s="35"/>
      <c r="B510" s="4"/>
      <c r="C510" s="4"/>
      <c r="D510" s="4"/>
      <c r="E510" s="4"/>
      <c r="F510" s="4"/>
      <c r="G510" s="4"/>
      <c r="H510" s="4"/>
      <c r="I510" s="4"/>
      <c r="J510" s="18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4"/>
      <c r="X510" s="4"/>
      <c r="Y510" s="4"/>
      <c r="Z510" s="4"/>
    </row>
    <row r="511" spans="1:26" ht="14.25" customHeight="1" x14ac:dyDescent="0.3">
      <c r="A511" s="35"/>
      <c r="B511" s="4"/>
      <c r="C511" s="4"/>
      <c r="D511" s="4"/>
      <c r="E511" s="4"/>
      <c r="F511" s="4"/>
      <c r="G511" s="4"/>
      <c r="H511" s="4"/>
      <c r="I511" s="4"/>
      <c r="J511" s="18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4"/>
      <c r="X511" s="4"/>
      <c r="Y511" s="4"/>
      <c r="Z511" s="4"/>
    </row>
    <row r="512" spans="1:26" ht="14.25" customHeight="1" x14ac:dyDescent="0.3">
      <c r="A512" s="35"/>
      <c r="B512" s="4"/>
      <c r="C512" s="4"/>
      <c r="D512" s="4"/>
      <c r="E512" s="4"/>
      <c r="F512" s="4"/>
      <c r="G512" s="4"/>
      <c r="H512" s="4"/>
      <c r="I512" s="4"/>
      <c r="J512" s="18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4"/>
      <c r="X512" s="4"/>
      <c r="Y512" s="4"/>
      <c r="Z512" s="4"/>
    </row>
    <row r="513" spans="1:26" ht="14.25" customHeight="1" x14ac:dyDescent="0.3">
      <c r="A513" s="35"/>
      <c r="B513" s="4"/>
      <c r="C513" s="4"/>
      <c r="D513" s="4"/>
      <c r="E513" s="4"/>
      <c r="F513" s="4"/>
      <c r="G513" s="4"/>
      <c r="H513" s="4"/>
      <c r="I513" s="4"/>
      <c r="J513" s="18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4"/>
      <c r="X513" s="4"/>
      <c r="Y513" s="4"/>
      <c r="Z513" s="4"/>
    </row>
    <row r="514" spans="1:26" ht="14.25" customHeight="1" x14ac:dyDescent="0.3">
      <c r="A514" s="35"/>
      <c r="B514" s="4"/>
      <c r="C514" s="4"/>
      <c r="D514" s="4"/>
      <c r="E514" s="4"/>
      <c r="F514" s="4"/>
      <c r="G514" s="4"/>
      <c r="H514" s="4"/>
      <c r="I514" s="4"/>
      <c r="J514" s="18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4"/>
      <c r="X514" s="4"/>
      <c r="Y514" s="4"/>
      <c r="Z514" s="4"/>
    </row>
    <row r="515" spans="1:26" ht="14.25" customHeight="1" x14ac:dyDescent="0.3">
      <c r="A515" s="35"/>
      <c r="B515" s="4"/>
      <c r="C515" s="4"/>
      <c r="D515" s="4"/>
      <c r="E515" s="4"/>
      <c r="F515" s="4"/>
      <c r="G515" s="4"/>
      <c r="H515" s="4"/>
      <c r="I515" s="4"/>
      <c r="J515" s="18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4"/>
      <c r="X515" s="4"/>
      <c r="Y515" s="4"/>
      <c r="Z515" s="4"/>
    </row>
    <row r="516" spans="1:26" ht="14.25" customHeight="1" x14ac:dyDescent="0.3">
      <c r="A516" s="35"/>
      <c r="B516" s="4"/>
      <c r="C516" s="4"/>
      <c r="D516" s="4"/>
      <c r="E516" s="4"/>
      <c r="F516" s="4"/>
      <c r="G516" s="4"/>
      <c r="H516" s="4"/>
      <c r="I516" s="4"/>
      <c r="J516" s="18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4"/>
      <c r="X516" s="4"/>
      <c r="Y516" s="4"/>
      <c r="Z516" s="4"/>
    </row>
    <row r="517" spans="1:26" ht="14.25" customHeight="1" x14ac:dyDescent="0.3">
      <c r="A517" s="35"/>
      <c r="B517" s="4"/>
      <c r="C517" s="4"/>
      <c r="D517" s="4"/>
      <c r="E517" s="4"/>
      <c r="F517" s="4"/>
      <c r="G517" s="4"/>
      <c r="H517" s="4"/>
      <c r="I517" s="4"/>
      <c r="J517" s="18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4"/>
      <c r="X517" s="4"/>
      <c r="Y517" s="4"/>
      <c r="Z517" s="4"/>
    </row>
    <row r="518" spans="1:26" ht="14.25" customHeight="1" x14ac:dyDescent="0.3">
      <c r="A518" s="35"/>
      <c r="B518" s="4"/>
      <c r="C518" s="4"/>
      <c r="D518" s="4"/>
      <c r="E518" s="4"/>
      <c r="F518" s="4"/>
      <c r="G518" s="4"/>
      <c r="H518" s="4"/>
      <c r="I518" s="4"/>
      <c r="J518" s="18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4"/>
      <c r="X518" s="4"/>
      <c r="Y518" s="4"/>
      <c r="Z518" s="4"/>
    </row>
    <row r="519" spans="1:26" ht="14.25" customHeight="1" x14ac:dyDescent="0.3">
      <c r="A519" s="35"/>
      <c r="B519" s="4"/>
      <c r="C519" s="4"/>
      <c r="D519" s="4"/>
      <c r="E519" s="4"/>
      <c r="F519" s="4"/>
      <c r="G519" s="4"/>
      <c r="H519" s="4"/>
      <c r="I519" s="4"/>
      <c r="J519" s="18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4"/>
      <c r="X519" s="4"/>
      <c r="Y519" s="4"/>
      <c r="Z519" s="4"/>
    </row>
    <row r="520" spans="1:26" ht="14.25" customHeight="1" x14ac:dyDescent="0.3">
      <c r="A520" s="35"/>
      <c r="B520" s="4"/>
      <c r="C520" s="4"/>
      <c r="D520" s="4"/>
      <c r="E520" s="4"/>
      <c r="F520" s="4"/>
      <c r="G520" s="4"/>
      <c r="H520" s="4"/>
      <c r="I520" s="4"/>
      <c r="J520" s="18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4"/>
      <c r="X520" s="4"/>
      <c r="Y520" s="4"/>
      <c r="Z520" s="4"/>
    </row>
    <row r="521" spans="1:26" ht="14.25" customHeight="1" x14ac:dyDescent="0.3">
      <c r="A521" s="35"/>
      <c r="B521" s="4"/>
      <c r="C521" s="4"/>
      <c r="D521" s="4"/>
      <c r="E521" s="4"/>
      <c r="F521" s="4"/>
      <c r="G521" s="4"/>
      <c r="H521" s="4"/>
      <c r="I521" s="4"/>
      <c r="J521" s="18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4"/>
      <c r="X521" s="4"/>
      <c r="Y521" s="4"/>
      <c r="Z521" s="4"/>
    </row>
    <row r="522" spans="1:26" ht="14.25" customHeight="1" x14ac:dyDescent="0.3">
      <c r="A522" s="35"/>
      <c r="B522" s="4"/>
      <c r="C522" s="4"/>
      <c r="D522" s="4"/>
      <c r="E522" s="4"/>
      <c r="F522" s="4"/>
      <c r="G522" s="4"/>
      <c r="H522" s="4"/>
      <c r="I522" s="4"/>
      <c r="J522" s="18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4"/>
      <c r="X522" s="4"/>
      <c r="Y522" s="4"/>
      <c r="Z522" s="4"/>
    </row>
    <row r="523" spans="1:26" ht="14.25" customHeight="1" x14ac:dyDescent="0.3">
      <c r="A523" s="35"/>
      <c r="B523" s="4"/>
      <c r="C523" s="4"/>
      <c r="D523" s="4"/>
      <c r="E523" s="4"/>
      <c r="F523" s="4"/>
      <c r="G523" s="4"/>
      <c r="H523" s="4"/>
      <c r="I523" s="4"/>
      <c r="J523" s="18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4"/>
      <c r="X523" s="4"/>
      <c r="Y523" s="4"/>
      <c r="Z523" s="4"/>
    </row>
    <row r="524" spans="1:26" ht="14.25" customHeight="1" x14ac:dyDescent="0.3">
      <c r="A524" s="35"/>
      <c r="B524" s="4"/>
      <c r="C524" s="4"/>
      <c r="D524" s="4"/>
      <c r="E524" s="4"/>
      <c r="F524" s="4"/>
      <c r="G524" s="4"/>
      <c r="H524" s="4"/>
      <c r="I524" s="4"/>
      <c r="J524" s="18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4"/>
      <c r="X524" s="4"/>
      <c r="Y524" s="4"/>
      <c r="Z524" s="4"/>
    </row>
    <row r="525" spans="1:26" ht="14.25" customHeight="1" x14ac:dyDescent="0.3">
      <c r="A525" s="35"/>
      <c r="B525" s="4"/>
      <c r="C525" s="4"/>
      <c r="D525" s="4"/>
      <c r="E525" s="4"/>
      <c r="F525" s="4"/>
      <c r="G525" s="4"/>
      <c r="H525" s="4"/>
      <c r="I525" s="4"/>
      <c r="J525" s="18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4"/>
      <c r="X525" s="4"/>
      <c r="Y525" s="4"/>
      <c r="Z525" s="4"/>
    </row>
    <row r="526" spans="1:26" ht="14.25" customHeight="1" x14ac:dyDescent="0.3">
      <c r="A526" s="35"/>
      <c r="B526" s="4"/>
      <c r="C526" s="4"/>
      <c r="D526" s="4"/>
      <c r="E526" s="4"/>
      <c r="F526" s="4"/>
      <c r="G526" s="4"/>
      <c r="H526" s="4"/>
      <c r="I526" s="4"/>
      <c r="J526" s="18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4"/>
      <c r="X526" s="4"/>
      <c r="Y526" s="4"/>
      <c r="Z526" s="4"/>
    </row>
    <row r="527" spans="1:26" ht="14.25" customHeight="1" x14ac:dyDescent="0.3">
      <c r="A527" s="35"/>
      <c r="B527" s="4"/>
      <c r="C527" s="4"/>
      <c r="D527" s="4"/>
      <c r="E527" s="4"/>
      <c r="F527" s="4"/>
      <c r="G527" s="4"/>
      <c r="H527" s="4"/>
      <c r="I527" s="4"/>
      <c r="J527" s="18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4"/>
      <c r="X527" s="4"/>
      <c r="Y527" s="4"/>
      <c r="Z527" s="4"/>
    </row>
    <row r="528" spans="1:26" ht="14.25" customHeight="1" x14ac:dyDescent="0.3">
      <c r="A528" s="35"/>
      <c r="B528" s="4"/>
      <c r="C528" s="4"/>
      <c r="D528" s="4"/>
      <c r="E528" s="4"/>
      <c r="F528" s="4"/>
      <c r="G528" s="4"/>
      <c r="H528" s="4"/>
      <c r="I528" s="4"/>
      <c r="J528" s="18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4"/>
      <c r="X528" s="4"/>
      <c r="Y528" s="4"/>
      <c r="Z528" s="4"/>
    </row>
    <row r="529" spans="1:26" ht="14.25" customHeight="1" x14ac:dyDescent="0.3">
      <c r="A529" s="35"/>
      <c r="B529" s="4"/>
      <c r="C529" s="4"/>
      <c r="D529" s="4"/>
      <c r="E529" s="4"/>
      <c r="F529" s="4"/>
      <c r="G529" s="4"/>
      <c r="H529" s="4"/>
      <c r="I529" s="4"/>
      <c r="J529" s="18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4"/>
      <c r="X529" s="4"/>
      <c r="Y529" s="4"/>
      <c r="Z529" s="4"/>
    </row>
    <row r="530" spans="1:26" ht="14.25" customHeight="1" x14ac:dyDescent="0.3">
      <c r="A530" s="35"/>
      <c r="B530" s="4"/>
      <c r="C530" s="4"/>
      <c r="D530" s="4"/>
      <c r="E530" s="4"/>
      <c r="F530" s="4"/>
      <c r="G530" s="4"/>
      <c r="H530" s="4"/>
      <c r="I530" s="4"/>
      <c r="J530" s="18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4"/>
      <c r="X530" s="4"/>
      <c r="Y530" s="4"/>
      <c r="Z530" s="4"/>
    </row>
    <row r="531" spans="1:26" ht="14.25" customHeight="1" x14ac:dyDescent="0.3">
      <c r="A531" s="35"/>
      <c r="B531" s="4"/>
      <c r="C531" s="4"/>
      <c r="D531" s="4"/>
      <c r="E531" s="4"/>
      <c r="F531" s="4"/>
      <c r="G531" s="4"/>
      <c r="H531" s="4"/>
      <c r="I531" s="4"/>
      <c r="J531" s="18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4"/>
      <c r="X531" s="4"/>
      <c r="Y531" s="4"/>
      <c r="Z531" s="4"/>
    </row>
    <row r="532" spans="1:26" ht="14.25" customHeight="1" x14ac:dyDescent="0.3">
      <c r="A532" s="35"/>
      <c r="B532" s="4"/>
      <c r="C532" s="4"/>
      <c r="D532" s="4"/>
      <c r="E532" s="4"/>
      <c r="F532" s="4"/>
      <c r="G532" s="4"/>
      <c r="H532" s="4"/>
      <c r="I532" s="4"/>
      <c r="J532" s="18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4"/>
      <c r="X532" s="4"/>
      <c r="Y532" s="4"/>
      <c r="Z532" s="4"/>
    </row>
    <row r="533" spans="1:26" ht="14.25" customHeight="1" x14ac:dyDescent="0.3">
      <c r="A533" s="35"/>
      <c r="B533" s="4"/>
      <c r="C533" s="4"/>
      <c r="D533" s="4"/>
      <c r="E533" s="4"/>
      <c r="F533" s="4"/>
      <c r="G533" s="4"/>
      <c r="H533" s="4"/>
      <c r="I533" s="4"/>
      <c r="J533" s="18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4"/>
      <c r="X533" s="4"/>
      <c r="Y533" s="4"/>
      <c r="Z533" s="4"/>
    </row>
    <row r="534" spans="1:26" ht="14.25" customHeight="1" x14ac:dyDescent="0.3">
      <c r="A534" s="35"/>
      <c r="B534" s="4"/>
      <c r="C534" s="4"/>
      <c r="D534" s="4"/>
      <c r="E534" s="4"/>
      <c r="F534" s="4"/>
      <c r="G534" s="4"/>
      <c r="H534" s="4"/>
      <c r="I534" s="4"/>
      <c r="J534" s="18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4"/>
      <c r="X534" s="4"/>
      <c r="Y534" s="4"/>
      <c r="Z534" s="4"/>
    </row>
    <row r="535" spans="1:26" ht="14.25" customHeight="1" x14ac:dyDescent="0.3">
      <c r="A535" s="35"/>
      <c r="B535" s="4"/>
      <c r="C535" s="4"/>
      <c r="D535" s="4"/>
      <c r="E535" s="4"/>
      <c r="F535" s="4"/>
      <c r="G535" s="4"/>
      <c r="H535" s="4"/>
      <c r="I535" s="4"/>
      <c r="J535" s="18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4"/>
      <c r="X535" s="4"/>
      <c r="Y535" s="4"/>
      <c r="Z535" s="4"/>
    </row>
    <row r="536" spans="1:26" ht="14.25" customHeight="1" x14ac:dyDescent="0.3">
      <c r="A536" s="35"/>
      <c r="B536" s="4"/>
      <c r="C536" s="4"/>
      <c r="D536" s="4"/>
      <c r="E536" s="4"/>
      <c r="F536" s="4"/>
      <c r="G536" s="4"/>
      <c r="H536" s="4"/>
      <c r="I536" s="4"/>
      <c r="J536" s="18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4"/>
      <c r="X536" s="4"/>
      <c r="Y536" s="4"/>
      <c r="Z536" s="4"/>
    </row>
    <row r="537" spans="1:26" ht="14.25" customHeight="1" x14ac:dyDescent="0.3">
      <c r="A537" s="35"/>
      <c r="B537" s="4"/>
      <c r="C537" s="4"/>
      <c r="D537" s="4"/>
      <c r="E537" s="4"/>
      <c r="F537" s="4"/>
      <c r="G537" s="4"/>
      <c r="H537" s="4"/>
      <c r="I537" s="4"/>
      <c r="J537" s="18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4"/>
      <c r="X537" s="4"/>
      <c r="Y537" s="4"/>
      <c r="Z537" s="4"/>
    </row>
    <row r="538" spans="1:26" ht="14.25" customHeight="1" x14ac:dyDescent="0.3">
      <c r="A538" s="35"/>
      <c r="B538" s="4"/>
      <c r="C538" s="4"/>
      <c r="D538" s="4"/>
      <c r="E538" s="4"/>
      <c r="F538" s="4"/>
      <c r="G538" s="4"/>
      <c r="H538" s="4"/>
      <c r="I538" s="4"/>
      <c r="J538" s="18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4"/>
      <c r="X538" s="4"/>
      <c r="Y538" s="4"/>
      <c r="Z538" s="4"/>
    </row>
    <row r="539" spans="1:26" ht="14.25" customHeight="1" x14ac:dyDescent="0.3">
      <c r="A539" s="35"/>
      <c r="B539" s="4"/>
      <c r="C539" s="4"/>
      <c r="D539" s="4"/>
      <c r="E539" s="4"/>
      <c r="F539" s="4"/>
      <c r="G539" s="4"/>
      <c r="H539" s="4"/>
      <c r="I539" s="4"/>
      <c r="J539" s="18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4"/>
      <c r="X539" s="4"/>
      <c r="Y539" s="4"/>
      <c r="Z539" s="4"/>
    </row>
    <row r="540" spans="1:26" ht="14.25" customHeight="1" x14ac:dyDescent="0.3">
      <c r="A540" s="35"/>
      <c r="B540" s="4"/>
      <c r="C540" s="4"/>
      <c r="D540" s="4"/>
      <c r="E540" s="4"/>
      <c r="F540" s="4"/>
      <c r="G540" s="4"/>
      <c r="H540" s="4"/>
      <c r="I540" s="4"/>
      <c r="J540" s="18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4"/>
      <c r="X540" s="4"/>
      <c r="Y540" s="4"/>
      <c r="Z540" s="4"/>
    </row>
    <row r="541" spans="1:26" ht="14.25" customHeight="1" x14ac:dyDescent="0.3">
      <c r="A541" s="35"/>
      <c r="B541" s="4"/>
      <c r="C541" s="4"/>
      <c r="D541" s="4"/>
      <c r="E541" s="4"/>
      <c r="F541" s="4"/>
      <c r="G541" s="4"/>
      <c r="H541" s="4"/>
      <c r="I541" s="4"/>
      <c r="J541" s="18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4"/>
      <c r="X541" s="4"/>
      <c r="Y541" s="4"/>
      <c r="Z541" s="4"/>
    </row>
    <row r="542" spans="1:26" ht="14.25" customHeight="1" x14ac:dyDescent="0.3">
      <c r="A542" s="35"/>
      <c r="B542" s="4"/>
      <c r="C542" s="4"/>
      <c r="D542" s="4"/>
      <c r="E542" s="4"/>
      <c r="F542" s="4"/>
      <c r="G542" s="4"/>
      <c r="H542" s="4"/>
      <c r="I542" s="4"/>
      <c r="J542" s="18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4"/>
      <c r="X542" s="4"/>
      <c r="Y542" s="4"/>
      <c r="Z542" s="4"/>
    </row>
    <row r="543" spans="1:26" ht="14.25" customHeight="1" x14ac:dyDescent="0.3">
      <c r="A543" s="35"/>
      <c r="B543" s="4"/>
      <c r="C543" s="4"/>
      <c r="D543" s="4"/>
      <c r="E543" s="4"/>
      <c r="F543" s="4"/>
      <c r="G543" s="4"/>
      <c r="H543" s="4"/>
      <c r="I543" s="4"/>
      <c r="J543" s="18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4"/>
      <c r="X543" s="4"/>
      <c r="Y543" s="4"/>
      <c r="Z543" s="4"/>
    </row>
    <row r="544" spans="1:26" ht="14.25" customHeight="1" x14ac:dyDescent="0.3">
      <c r="A544" s="35"/>
      <c r="B544" s="4"/>
      <c r="C544" s="4"/>
      <c r="D544" s="4"/>
      <c r="E544" s="4"/>
      <c r="F544" s="4"/>
      <c r="G544" s="4"/>
      <c r="H544" s="4"/>
      <c r="I544" s="4"/>
      <c r="J544" s="18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4"/>
      <c r="X544" s="4"/>
      <c r="Y544" s="4"/>
      <c r="Z544" s="4"/>
    </row>
    <row r="545" spans="1:26" ht="14.25" customHeight="1" x14ac:dyDescent="0.3">
      <c r="A545" s="35"/>
      <c r="B545" s="4"/>
      <c r="C545" s="4"/>
      <c r="D545" s="4"/>
      <c r="E545" s="4"/>
      <c r="F545" s="4"/>
      <c r="G545" s="4"/>
      <c r="H545" s="4"/>
      <c r="I545" s="4"/>
      <c r="J545" s="18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4"/>
      <c r="X545" s="4"/>
      <c r="Y545" s="4"/>
      <c r="Z545" s="4"/>
    </row>
    <row r="546" spans="1:26" ht="14.25" customHeight="1" x14ac:dyDescent="0.3">
      <c r="A546" s="35"/>
      <c r="B546" s="4"/>
      <c r="C546" s="4"/>
      <c r="D546" s="4"/>
      <c r="E546" s="4"/>
      <c r="F546" s="4"/>
      <c r="G546" s="4"/>
      <c r="H546" s="4"/>
      <c r="I546" s="4"/>
      <c r="J546" s="18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4"/>
      <c r="X546" s="4"/>
      <c r="Y546" s="4"/>
      <c r="Z546" s="4"/>
    </row>
    <row r="547" spans="1:26" ht="14.25" customHeight="1" x14ac:dyDescent="0.3">
      <c r="A547" s="35"/>
      <c r="B547" s="4"/>
      <c r="C547" s="4"/>
      <c r="D547" s="4"/>
      <c r="E547" s="4"/>
      <c r="F547" s="4"/>
      <c r="G547" s="4"/>
      <c r="H547" s="4"/>
      <c r="I547" s="4"/>
      <c r="J547" s="18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4"/>
      <c r="X547" s="4"/>
      <c r="Y547" s="4"/>
      <c r="Z547" s="4"/>
    </row>
    <row r="548" spans="1:26" ht="14.25" customHeight="1" x14ac:dyDescent="0.3">
      <c r="A548" s="35"/>
      <c r="B548" s="4"/>
      <c r="C548" s="4"/>
      <c r="D548" s="4"/>
      <c r="E548" s="4"/>
      <c r="F548" s="4"/>
      <c r="G548" s="4"/>
      <c r="H548" s="4"/>
      <c r="I548" s="4"/>
      <c r="J548" s="18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4"/>
      <c r="X548" s="4"/>
      <c r="Y548" s="4"/>
      <c r="Z548" s="4"/>
    </row>
    <row r="549" spans="1:26" ht="14.25" customHeight="1" x14ac:dyDescent="0.3">
      <c r="A549" s="35"/>
      <c r="B549" s="4"/>
      <c r="C549" s="4"/>
      <c r="D549" s="4"/>
      <c r="E549" s="4"/>
      <c r="F549" s="4"/>
      <c r="G549" s="4"/>
      <c r="H549" s="4"/>
      <c r="I549" s="4"/>
      <c r="J549" s="18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4"/>
      <c r="X549" s="4"/>
      <c r="Y549" s="4"/>
      <c r="Z549" s="4"/>
    </row>
    <row r="550" spans="1:26" ht="14.25" customHeight="1" x14ac:dyDescent="0.3">
      <c r="A550" s="35"/>
      <c r="B550" s="4"/>
      <c r="C550" s="4"/>
      <c r="D550" s="4"/>
      <c r="E550" s="4"/>
      <c r="F550" s="4"/>
      <c r="G550" s="4"/>
      <c r="H550" s="4"/>
      <c r="I550" s="4"/>
      <c r="J550" s="18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4"/>
      <c r="X550" s="4"/>
      <c r="Y550" s="4"/>
      <c r="Z550" s="4"/>
    </row>
    <row r="551" spans="1:26" ht="14.25" customHeight="1" x14ac:dyDescent="0.3">
      <c r="A551" s="35"/>
      <c r="B551" s="4"/>
      <c r="C551" s="4"/>
      <c r="D551" s="4"/>
      <c r="E551" s="4"/>
      <c r="F551" s="4"/>
      <c r="G551" s="4"/>
      <c r="H551" s="4"/>
      <c r="I551" s="4"/>
      <c r="J551" s="18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4"/>
      <c r="X551" s="4"/>
      <c r="Y551" s="4"/>
      <c r="Z551" s="4"/>
    </row>
    <row r="552" spans="1:26" ht="14.25" customHeight="1" x14ac:dyDescent="0.3">
      <c r="A552" s="35"/>
      <c r="B552" s="4"/>
      <c r="C552" s="4"/>
      <c r="D552" s="4"/>
      <c r="E552" s="4"/>
      <c r="F552" s="4"/>
      <c r="G552" s="4"/>
      <c r="H552" s="4"/>
      <c r="I552" s="4"/>
      <c r="J552" s="18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4"/>
      <c r="X552" s="4"/>
      <c r="Y552" s="4"/>
      <c r="Z552" s="4"/>
    </row>
    <row r="553" spans="1:26" ht="14.25" customHeight="1" x14ac:dyDescent="0.3">
      <c r="A553" s="35"/>
      <c r="B553" s="4"/>
      <c r="C553" s="4"/>
      <c r="D553" s="4"/>
      <c r="E553" s="4"/>
      <c r="F553" s="4"/>
      <c r="G553" s="4"/>
      <c r="H553" s="4"/>
      <c r="I553" s="4"/>
      <c r="J553" s="18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4"/>
      <c r="X553" s="4"/>
      <c r="Y553" s="4"/>
      <c r="Z553" s="4"/>
    </row>
    <row r="554" spans="1:26" ht="14.25" customHeight="1" x14ac:dyDescent="0.3">
      <c r="A554" s="35"/>
      <c r="B554" s="4"/>
      <c r="C554" s="4"/>
      <c r="D554" s="4"/>
      <c r="E554" s="4"/>
      <c r="F554" s="4"/>
      <c r="G554" s="4"/>
      <c r="H554" s="4"/>
      <c r="I554" s="4"/>
      <c r="J554" s="18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4"/>
      <c r="X554" s="4"/>
      <c r="Y554" s="4"/>
      <c r="Z554" s="4"/>
    </row>
    <row r="555" spans="1:26" ht="14.25" customHeight="1" x14ac:dyDescent="0.3">
      <c r="A555" s="35"/>
      <c r="B555" s="4"/>
      <c r="C555" s="4"/>
      <c r="D555" s="4"/>
      <c r="E555" s="4"/>
      <c r="F555" s="4"/>
      <c r="G555" s="4"/>
      <c r="H555" s="4"/>
      <c r="I555" s="4"/>
      <c r="J555" s="18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4"/>
      <c r="X555" s="4"/>
      <c r="Y555" s="4"/>
      <c r="Z555" s="4"/>
    </row>
    <row r="556" spans="1:26" ht="14.25" customHeight="1" x14ac:dyDescent="0.3">
      <c r="A556" s="35"/>
      <c r="B556" s="4"/>
      <c r="C556" s="4"/>
      <c r="D556" s="4"/>
      <c r="E556" s="4"/>
      <c r="F556" s="4"/>
      <c r="G556" s="4"/>
      <c r="H556" s="4"/>
      <c r="I556" s="4"/>
      <c r="J556" s="18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4"/>
      <c r="X556" s="4"/>
      <c r="Y556" s="4"/>
      <c r="Z556" s="4"/>
    </row>
    <row r="557" spans="1:26" ht="14.25" customHeight="1" x14ac:dyDescent="0.3">
      <c r="A557" s="35"/>
      <c r="B557" s="4"/>
      <c r="C557" s="4"/>
      <c r="D557" s="4"/>
      <c r="E557" s="4"/>
      <c r="F557" s="4"/>
      <c r="G557" s="4"/>
      <c r="H557" s="4"/>
      <c r="I557" s="4"/>
      <c r="J557" s="18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4"/>
      <c r="X557" s="4"/>
      <c r="Y557" s="4"/>
      <c r="Z557" s="4"/>
    </row>
    <row r="558" spans="1:26" ht="14.25" customHeight="1" x14ac:dyDescent="0.3">
      <c r="A558" s="35"/>
      <c r="B558" s="4"/>
      <c r="C558" s="4"/>
      <c r="D558" s="4"/>
      <c r="E558" s="4"/>
      <c r="F558" s="4"/>
      <c r="G558" s="4"/>
      <c r="H558" s="4"/>
      <c r="I558" s="4"/>
      <c r="J558" s="18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4"/>
      <c r="X558" s="4"/>
      <c r="Y558" s="4"/>
      <c r="Z558" s="4"/>
    </row>
    <row r="559" spans="1:26" ht="14.25" customHeight="1" x14ac:dyDescent="0.3">
      <c r="A559" s="35"/>
      <c r="B559" s="4"/>
      <c r="C559" s="4"/>
      <c r="D559" s="4"/>
      <c r="E559" s="4"/>
      <c r="F559" s="4"/>
      <c r="G559" s="4"/>
      <c r="H559" s="4"/>
      <c r="I559" s="4"/>
      <c r="J559" s="18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4"/>
      <c r="X559" s="4"/>
      <c r="Y559" s="4"/>
      <c r="Z559" s="4"/>
    </row>
    <row r="560" spans="1:26" ht="14.25" customHeight="1" x14ac:dyDescent="0.3">
      <c r="A560" s="35"/>
      <c r="B560" s="4"/>
      <c r="C560" s="4"/>
      <c r="D560" s="4"/>
      <c r="E560" s="4"/>
      <c r="F560" s="4"/>
      <c r="G560" s="4"/>
      <c r="H560" s="4"/>
      <c r="I560" s="4"/>
      <c r="J560" s="18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4"/>
      <c r="X560" s="4"/>
      <c r="Y560" s="4"/>
      <c r="Z560" s="4"/>
    </row>
    <row r="561" spans="1:26" ht="14.25" customHeight="1" x14ac:dyDescent="0.3">
      <c r="A561" s="35"/>
      <c r="B561" s="4"/>
      <c r="C561" s="4"/>
      <c r="D561" s="4"/>
      <c r="E561" s="4"/>
      <c r="F561" s="4"/>
      <c r="G561" s="4"/>
      <c r="H561" s="4"/>
      <c r="I561" s="4"/>
      <c r="J561" s="18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4"/>
      <c r="X561" s="4"/>
      <c r="Y561" s="4"/>
      <c r="Z561" s="4"/>
    </row>
    <row r="562" spans="1:26" ht="14.25" customHeight="1" x14ac:dyDescent="0.3">
      <c r="A562" s="35"/>
      <c r="B562" s="4"/>
      <c r="C562" s="4"/>
      <c r="D562" s="4"/>
      <c r="E562" s="4"/>
      <c r="F562" s="4"/>
      <c r="G562" s="4"/>
      <c r="H562" s="4"/>
      <c r="I562" s="4"/>
      <c r="J562" s="18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4"/>
      <c r="X562" s="4"/>
      <c r="Y562" s="4"/>
      <c r="Z562" s="4"/>
    </row>
    <row r="563" spans="1:26" ht="14.25" customHeight="1" x14ac:dyDescent="0.3">
      <c r="A563" s="35"/>
      <c r="B563" s="4"/>
      <c r="C563" s="4"/>
      <c r="D563" s="4"/>
      <c r="E563" s="4"/>
      <c r="F563" s="4"/>
      <c r="G563" s="4"/>
      <c r="H563" s="4"/>
      <c r="I563" s="4"/>
      <c r="J563" s="18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4"/>
      <c r="X563" s="4"/>
      <c r="Y563" s="4"/>
      <c r="Z563" s="4"/>
    </row>
    <row r="564" spans="1:26" ht="14.25" customHeight="1" x14ac:dyDescent="0.3">
      <c r="A564" s="35"/>
      <c r="B564" s="4"/>
      <c r="C564" s="4"/>
      <c r="D564" s="4"/>
      <c r="E564" s="4"/>
      <c r="F564" s="4"/>
      <c r="G564" s="4"/>
      <c r="H564" s="4"/>
      <c r="I564" s="4"/>
      <c r="J564" s="18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4"/>
      <c r="X564" s="4"/>
      <c r="Y564" s="4"/>
      <c r="Z564" s="4"/>
    </row>
    <row r="565" spans="1:26" ht="14.25" customHeight="1" x14ac:dyDescent="0.3">
      <c r="A565" s="35"/>
      <c r="B565" s="4"/>
      <c r="C565" s="4"/>
      <c r="D565" s="4"/>
      <c r="E565" s="4"/>
      <c r="F565" s="4"/>
      <c r="G565" s="4"/>
      <c r="H565" s="4"/>
      <c r="I565" s="4"/>
      <c r="J565" s="18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4"/>
      <c r="X565" s="4"/>
      <c r="Y565" s="4"/>
      <c r="Z565" s="4"/>
    </row>
    <row r="566" spans="1:26" ht="14.25" customHeight="1" x14ac:dyDescent="0.3">
      <c r="A566" s="35"/>
      <c r="B566" s="4"/>
      <c r="C566" s="4"/>
      <c r="D566" s="4"/>
      <c r="E566" s="4"/>
      <c r="F566" s="4"/>
      <c r="G566" s="4"/>
      <c r="H566" s="4"/>
      <c r="I566" s="4"/>
      <c r="J566" s="18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4"/>
      <c r="X566" s="4"/>
      <c r="Y566" s="4"/>
      <c r="Z566" s="4"/>
    </row>
    <row r="567" spans="1:26" ht="14.25" customHeight="1" x14ac:dyDescent="0.3">
      <c r="A567" s="35"/>
      <c r="B567" s="4"/>
      <c r="C567" s="4"/>
      <c r="D567" s="4"/>
      <c r="E567" s="4"/>
      <c r="F567" s="4"/>
      <c r="G567" s="4"/>
      <c r="H567" s="4"/>
      <c r="I567" s="4"/>
      <c r="J567" s="18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4"/>
      <c r="X567" s="4"/>
      <c r="Y567" s="4"/>
      <c r="Z567" s="4"/>
    </row>
    <row r="568" spans="1:26" ht="14.25" customHeight="1" x14ac:dyDescent="0.3">
      <c r="A568" s="35"/>
      <c r="B568" s="4"/>
      <c r="C568" s="4"/>
      <c r="D568" s="4"/>
      <c r="E568" s="4"/>
      <c r="F568" s="4"/>
      <c r="G568" s="4"/>
      <c r="H568" s="4"/>
      <c r="I568" s="4"/>
      <c r="J568" s="18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4"/>
      <c r="X568" s="4"/>
      <c r="Y568" s="4"/>
      <c r="Z568" s="4"/>
    </row>
    <row r="569" spans="1:26" ht="14.25" customHeight="1" x14ac:dyDescent="0.3">
      <c r="A569" s="35"/>
      <c r="B569" s="4"/>
      <c r="C569" s="4"/>
      <c r="D569" s="4"/>
      <c r="E569" s="4"/>
      <c r="F569" s="4"/>
      <c r="G569" s="4"/>
      <c r="H569" s="4"/>
      <c r="I569" s="4"/>
      <c r="J569" s="18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4"/>
      <c r="X569" s="4"/>
      <c r="Y569" s="4"/>
      <c r="Z569" s="4"/>
    </row>
    <row r="570" spans="1:26" ht="14.25" customHeight="1" x14ac:dyDescent="0.3">
      <c r="A570" s="35"/>
      <c r="B570" s="4"/>
      <c r="C570" s="4"/>
      <c r="D570" s="4"/>
      <c r="E570" s="4"/>
      <c r="F570" s="4"/>
      <c r="G570" s="4"/>
      <c r="H570" s="4"/>
      <c r="I570" s="4"/>
      <c r="J570" s="18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4"/>
      <c r="X570" s="4"/>
      <c r="Y570" s="4"/>
      <c r="Z570" s="4"/>
    </row>
    <row r="571" spans="1:26" ht="14.25" customHeight="1" x14ac:dyDescent="0.3">
      <c r="A571" s="35"/>
      <c r="B571" s="4"/>
      <c r="C571" s="4"/>
      <c r="D571" s="4"/>
      <c r="E571" s="4"/>
      <c r="F571" s="4"/>
      <c r="G571" s="4"/>
      <c r="H571" s="4"/>
      <c r="I571" s="4"/>
      <c r="J571" s="18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4"/>
      <c r="X571" s="4"/>
      <c r="Y571" s="4"/>
      <c r="Z571" s="4"/>
    </row>
    <row r="572" spans="1:26" ht="14.25" customHeight="1" x14ac:dyDescent="0.3">
      <c r="A572" s="35"/>
      <c r="B572" s="4"/>
      <c r="C572" s="4"/>
      <c r="D572" s="4"/>
      <c r="E572" s="4"/>
      <c r="F572" s="4"/>
      <c r="G572" s="4"/>
      <c r="H572" s="4"/>
      <c r="I572" s="4"/>
      <c r="J572" s="18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4"/>
      <c r="X572" s="4"/>
      <c r="Y572" s="4"/>
      <c r="Z572" s="4"/>
    </row>
    <row r="573" spans="1:26" ht="14.25" customHeight="1" x14ac:dyDescent="0.3">
      <c r="A573" s="35"/>
      <c r="B573" s="4"/>
      <c r="C573" s="4"/>
      <c r="D573" s="4"/>
      <c r="E573" s="4"/>
      <c r="F573" s="4"/>
      <c r="G573" s="4"/>
      <c r="H573" s="4"/>
      <c r="I573" s="4"/>
      <c r="J573" s="18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4"/>
      <c r="X573" s="4"/>
      <c r="Y573" s="4"/>
      <c r="Z573" s="4"/>
    </row>
    <row r="574" spans="1:26" ht="14.25" customHeight="1" x14ac:dyDescent="0.3">
      <c r="A574" s="35"/>
      <c r="B574" s="4"/>
      <c r="C574" s="4"/>
      <c r="D574" s="4"/>
      <c r="E574" s="4"/>
      <c r="F574" s="4"/>
      <c r="G574" s="4"/>
      <c r="H574" s="4"/>
      <c r="I574" s="4"/>
      <c r="J574" s="18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4"/>
      <c r="X574" s="4"/>
      <c r="Y574" s="4"/>
      <c r="Z574" s="4"/>
    </row>
    <row r="575" spans="1:26" ht="14.25" customHeight="1" x14ac:dyDescent="0.3">
      <c r="A575" s="35"/>
      <c r="B575" s="4"/>
      <c r="C575" s="4"/>
      <c r="D575" s="4"/>
      <c r="E575" s="4"/>
      <c r="F575" s="4"/>
      <c r="G575" s="4"/>
      <c r="H575" s="4"/>
      <c r="I575" s="4"/>
      <c r="J575" s="18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4"/>
      <c r="X575" s="4"/>
      <c r="Y575" s="4"/>
      <c r="Z575" s="4"/>
    </row>
    <row r="576" spans="1:26" ht="14.25" customHeight="1" x14ac:dyDescent="0.3">
      <c r="A576" s="35"/>
      <c r="B576" s="4"/>
      <c r="C576" s="4"/>
      <c r="D576" s="4"/>
      <c r="E576" s="4"/>
      <c r="F576" s="4"/>
      <c r="G576" s="4"/>
      <c r="H576" s="4"/>
      <c r="I576" s="4"/>
      <c r="J576" s="18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4"/>
      <c r="X576" s="4"/>
      <c r="Y576" s="4"/>
      <c r="Z576" s="4"/>
    </row>
    <row r="577" spans="1:26" ht="14.25" customHeight="1" x14ac:dyDescent="0.3">
      <c r="A577" s="35"/>
      <c r="B577" s="4"/>
      <c r="C577" s="4"/>
      <c r="D577" s="4"/>
      <c r="E577" s="4"/>
      <c r="F577" s="4"/>
      <c r="G577" s="4"/>
      <c r="H577" s="4"/>
      <c r="I577" s="4"/>
      <c r="J577" s="18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4"/>
      <c r="X577" s="4"/>
      <c r="Y577" s="4"/>
      <c r="Z577" s="4"/>
    </row>
    <row r="578" spans="1:26" ht="14.25" customHeight="1" x14ac:dyDescent="0.3">
      <c r="A578" s="35"/>
      <c r="B578" s="4"/>
      <c r="C578" s="4"/>
      <c r="D578" s="4"/>
      <c r="E578" s="4"/>
      <c r="F578" s="4"/>
      <c r="G578" s="4"/>
      <c r="H578" s="4"/>
      <c r="I578" s="4"/>
      <c r="J578" s="18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4"/>
      <c r="X578" s="4"/>
      <c r="Y578" s="4"/>
      <c r="Z578" s="4"/>
    </row>
    <row r="579" spans="1:26" ht="14.25" customHeight="1" x14ac:dyDescent="0.3">
      <c r="A579" s="35"/>
      <c r="B579" s="4"/>
      <c r="C579" s="4"/>
      <c r="D579" s="4"/>
      <c r="E579" s="4"/>
      <c r="F579" s="4"/>
      <c r="G579" s="4"/>
      <c r="H579" s="4"/>
      <c r="I579" s="4"/>
      <c r="J579" s="18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4"/>
      <c r="X579" s="4"/>
      <c r="Y579" s="4"/>
      <c r="Z579" s="4"/>
    </row>
    <row r="580" spans="1:26" ht="14.25" customHeight="1" x14ac:dyDescent="0.3">
      <c r="A580" s="35"/>
      <c r="B580" s="4"/>
      <c r="C580" s="4"/>
      <c r="D580" s="4"/>
      <c r="E580" s="4"/>
      <c r="F580" s="4"/>
      <c r="G580" s="4"/>
      <c r="H580" s="4"/>
      <c r="I580" s="4"/>
      <c r="J580" s="18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4"/>
      <c r="X580" s="4"/>
      <c r="Y580" s="4"/>
      <c r="Z580" s="4"/>
    </row>
    <row r="581" spans="1:26" ht="14.25" customHeight="1" x14ac:dyDescent="0.3">
      <c r="A581" s="35"/>
      <c r="B581" s="4"/>
      <c r="C581" s="4"/>
      <c r="D581" s="4"/>
      <c r="E581" s="4"/>
      <c r="F581" s="4"/>
      <c r="G581" s="4"/>
      <c r="H581" s="4"/>
      <c r="I581" s="4"/>
      <c r="J581" s="18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4"/>
      <c r="X581" s="4"/>
      <c r="Y581" s="4"/>
      <c r="Z581" s="4"/>
    </row>
    <row r="582" spans="1:26" ht="14.25" customHeight="1" x14ac:dyDescent="0.3">
      <c r="A582" s="35"/>
      <c r="B582" s="4"/>
      <c r="C582" s="4"/>
      <c r="D582" s="4"/>
      <c r="E582" s="4"/>
      <c r="F582" s="4"/>
      <c r="G582" s="4"/>
      <c r="H582" s="4"/>
      <c r="I582" s="4"/>
      <c r="J582" s="18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4"/>
      <c r="X582" s="4"/>
      <c r="Y582" s="4"/>
      <c r="Z582" s="4"/>
    </row>
    <row r="583" spans="1:26" ht="14.25" customHeight="1" x14ac:dyDescent="0.3">
      <c r="A583" s="35"/>
      <c r="B583" s="4"/>
      <c r="C583" s="4"/>
      <c r="D583" s="4"/>
      <c r="E583" s="4"/>
      <c r="F583" s="4"/>
      <c r="G583" s="4"/>
      <c r="H583" s="4"/>
      <c r="I583" s="4"/>
      <c r="J583" s="18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4"/>
      <c r="X583" s="4"/>
      <c r="Y583" s="4"/>
      <c r="Z583" s="4"/>
    </row>
    <row r="584" spans="1:26" ht="14.25" customHeight="1" x14ac:dyDescent="0.3">
      <c r="A584" s="35"/>
      <c r="B584" s="4"/>
      <c r="C584" s="4"/>
      <c r="D584" s="4"/>
      <c r="E584" s="4"/>
      <c r="F584" s="4"/>
      <c r="G584" s="4"/>
      <c r="H584" s="4"/>
      <c r="I584" s="4"/>
      <c r="J584" s="18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4"/>
      <c r="X584" s="4"/>
      <c r="Y584" s="4"/>
      <c r="Z584" s="4"/>
    </row>
    <row r="585" spans="1:26" ht="14.25" customHeight="1" x14ac:dyDescent="0.3">
      <c r="A585" s="35"/>
      <c r="B585" s="4"/>
      <c r="C585" s="4"/>
      <c r="D585" s="4"/>
      <c r="E585" s="4"/>
      <c r="F585" s="4"/>
      <c r="G585" s="4"/>
      <c r="H585" s="4"/>
      <c r="I585" s="4"/>
      <c r="J585" s="18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4"/>
      <c r="X585" s="4"/>
      <c r="Y585" s="4"/>
      <c r="Z585" s="4"/>
    </row>
    <row r="586" spans="1:26" ht="14.25" customHeight="1" x14ac:dyDescent="0.3">
      <c r="A586" s="35"/>
      <c r="B586" s="4"/>
      <c r="C586" s="4"/>
      <c r="D586" s="4"/>
      <c r="E586" s="4"/>
      <c r="F586" s="4"/>
      <c r="G586" s="4"/>
      <c r="H586" s="4"/>
      <c r="I586" s="4"/>
      <c r="J586" s="18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4"/>
      <c r="X586" s="4"/>
      <c r="Y586" s="4"/>
      <c r="Z586" s="4"/>
    </row>
    <row r="587" spans="1:26" ht="14.25" customHeight="1" x14ac:dyDescent="0.3">
      <c r="A587" s="35"/>
      <c r="B587" s="4"/>
      <c r="C587" s="4"/>
      <c r="D587" s="4"/>
      <c r="E587" s="4"/>
      <c r="F587" s="4"/>
      <c r="G587" s="4"/>
      <c r="H587" s="4"/>
      <c r="I587" s="4"/>
      <c r="J587" s="18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4"/>
      <c r="X587" s="4"/>
      <c r="Y587" s="4"/>
      <c r="Z587" s="4"/>
    </row>
    <row r="588" spans="1:26" ht="14.25" customHeight="1" x14ac:dyDescent="0.3">
      <c r="A588" s="35"/>
      <c r="B588" s="4"/>
      <c r="C588" s="4"/>
      <c r="D588" s="4"/>
      <c r="E588" s="4"/>
      <c r="F588" s="4"/>
      <c r="G588" s="4"/>
      <c r="H588" s="4"/>
      <c r="I588" s="4"/>
      <c r="J588" s="18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4"/>
      <c r="X588" s="4"/>
      <c r="Y588" s="4"/>
      <c r="Z588" s="4"/>
    </row>
    <row r="589" spans="1:26" ht="14.25" customHeight="1" x14ac:dyDescent="0.3">
      <c r="A589" s="35"/>
      <c r="B589" s="4"/>
      <c r="C589" s="4"/>
      <c r="D589" s="4"/>
      <c r="E589" s="4"/>
      <c r="F589" s="4"/>
      <c r="G589" s="4"/>
      <c r="H589" s="4"/>
      <c r="I589" s="4"/>
      <c r="J589" s="18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4"/>
      <c r="X589" s="4"/>
      <c r="Y589" s="4"/>
      <c r="Z589" s="4"/>
    </row>
    <row r="590" spans="1:26" ht="14.25" customHeight="1" x14ac:dyDescent="0.3">
      <c r="A590" s="35"/>
      <c r="B590" s="4"/>
      <c r="C590" s="4"/>
      <c r="D590" s="4"/>
      <c r="E590" s="4"/>
      <c r="F590" s="4"/>
      <c r="G590" s="4"/>
      <c r="H590" s="4"/>
      <c r="I590" s="4"/>
      <c r="J590" s="18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4"/>
      <c r="X590" s="4"/>
      <c r="Y590" s="4"/>
      <c r="Z590" s="4"/>
    </row>
    <row r="591" spans="1:26" ht="14.25" customHeight="1" x14ac:dyDescent="0.3">
      <c r="A591" s="35"/>
      <c r="B591" s="4"/>
      <c r="C591" s="4"/>
      <c r="D591" s="4"/>
      <c r="E591" s="4"/>
      <c r="F591" s="4"/>
      <c r="G591" s="4"/>
      <c r="H591" s="4"/>
      <c r="I591" s="4"/>
      <c r="J591" s="18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4"/>
      <c r="X591" s="4"/>
      <c r="Y591" s="4"/>
      <c r="Z591" s="4"/>
    </row>
    <row r="592" spans="1:26" ht="14.25" customHeight="1" x14ac:dyDescent="0.3">
      <c r="A592" s="35"/>
      <c r="B592" s="4"/>
      <c r="C592" s="4"/>
      <c r="D592" s="4"/>
      <c r="E592" s="4"/>
      <c r="F592" s="4"/>
      <c r="G592" s="4"/>
      <c r="H592" s="4"/>
      <c r="I592" s="4"/>
      <c r="J592" s="18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4"/>
      <c r="X592" s="4"/>
      <c r="Y592" s="4"/>
      <c r="Z592" s="4"/>
    </row>
    <row r="593" spans="1:26" ht="14.25" customHeight="1" x14ac:dyDescent="0.3">
      <c r="A593" s="35"/>
      <c r="B593" s="4"/>
      <c r="C593" s="4"/>
      <c r="D593" s="4"/>
      <c r="E593" s="4"/>
      <c r="F593" s="4"/>
      <c r="G593" s="4"/>
      <c r="H593" s="4"/>
      <c r="I593" s="4"/>
      <c r="J593" s="18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4"/>
      <c r="X593" s="4"/>
      <c r="Y593" s="4"/>
      <c r="Z593" s="4"/>
    </row>
    <row r="594" spans="1:26" ht="14.25" customHeight="1" x14ac:dyDescent="0.3">
      <c r="A594" s="35"/>
      <c r="B594" s="4"/>
      <c r="C594" s="4"/>
      <c r="D594" s="4"/>
      <c r="E594" s="4"/>
      <c r="F594" s="4"/>
      <c r="G594" s="4"/>
      <c r="H594" s="4"/>
      <c r="I594" s="4"/>
      <c r="J594" s="18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4"/>
      <c r="X594" s="4"/>
      <c r="Y594" s="4"/>
      <c r="Z594" s="4"/>
    </row>
    <row r="595" spans="1:26" ht="14.25" customHeight="1" x14ac:dyDescent="0.3">
      <c r="A595" s="35"/>
      <c r="B595" s="4"/>
      <c r="C595" s="4"/>
      <c r="D595" s="4"/>
      <c r="E595" s="4"/>
      <c r="F595" s="4"/>
      <c r="G595" s="4"/>
      <c r="H595" s="4"/>
      <c r="I595" s="4"/>
      <c r="J595" s="18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4"/>
      <c r="X595" s="4"/>
      <c r="Y595" s="4"/>
      <c r="Z595" s="4"/>
    </row>
    <row r="596" spans="1:26" ht="14.25" customHeight="1" x14ac:dyDescent="0.3">
      <c r="A596" s="35"/>
      <c r="B596" s="4"/>
      <c r="C596" s="4"/>
      <c r="D596" s="4"/>
      <c r="E596" s="4"/>
      <c r="F596" s="4"/>
      <c r="G596" s="4"/>
      <c r="H596" s="4"/>
      <c r="I596" s="4"/>
      <c r="J596" s="18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4"/>
      <c r="X596" s="4"/>
      <c r="Y596" s="4"/>
      <c r="Z596" s="4"/>
    </row>
    <row r="597" spans="1:26" ht="14.25" customHeight="1" x14ac:dyDescent="0.3">
      <c r="A597" s="35"/>
      <c r="B597" s="4"/>
      <c r="C597" s="4"/>
      <c r="D597" s="4"/>
      <c r="E597" s="4"/>
      <c r="F597" s="4"/>
      <c r="G597" s="4"/>
      <c r="H597" s="4"/>
      <c r="I597" s="4"/>
      <c r="J597" s="18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4"/>
      <c r="X597" s="4"/>
      <c r="Y597" s="4"/>
      <c r="Z597" s="4"/>
    </row>
    <row r="598" spans="1:26" ht="14.25" customHeight="1" x14ac:dyDescent="0.3">
      <c r="A598" s="35"/>
      <c r="B598" s="4"/>
      <c r="C598" s="4"/>
      <c r="D598" s="4"/>
      <c r="E598" s="4"/>
      <c r="F598" s="4"/>
      <c r="G598" s="4"/>
      <c r="H598" s="4"/>
      <c r="I598" s="4"/>
      <c r="J598" s="18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4"/>
      <c r="X598" s="4"/>
      <c r="Y598" s="4"/>
      <c r="Z598" s="4"/>
    </row>
    <row r="599" spans="1:26" ht="14.25" customHeight="1" x14ac:dyDescent="0.3">
      <c r="A599" s="35"/>
      <c r="B599" s="4"/>
      <c r="C599" s="4"/>
      <c r="D599" s="4"/>
      <c r="E599" s="4"/>
      <c r="F599" s="4"/>
      <c r="G599" s="4"/>
      <c r="H599" s="4"/>
      <c r="I599" s="4"/>
      <c r="J599" s="18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4"/>
      <c r="X599" s="4"/>
      <c r="Y599" s="4"/>
      <c r="Z599" s="4"/>
    </row>
    <row r="600" spans="1:26" ht="14.25" customHeight="1" x14ac:dyDescent="0.3">
      <c r="A600" s="35"/>
      <c r="B600" s="4"/>
      <c r="C600" s="4"/>
      <c r="D600" s="4"/>
      <c r="E600" s="4"/>
      <c r="F600" s="4"/>
      <c r="G600" s="4"/>
      <c r="H600" s="4"/>
      <c r="I600" s="4"/>
      <c r="J600" s="18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4"/>
      <c r="X600" s="4"/>
      <c r="Y600" s="4"/>
      <c r="Z600" s="4"/>
    </row>
    <row r="601" spans="1:26" ht="14.25" customHeight="1" x14ac:dyDescent="0.3">
      <c r="A601" s="35"/>
      <c r="B601" s="4"/>
      <c r="C601" s="4"/>
      <c r="D601" s="4"/>
      <c r="E601" s="4"/>
      <c r="F601" s="4"/>
      <c r="G601" s="4"/>
      <c r="H601" s="4"/>
      <c r="I601" s="4"/>
      <c r="J601" s="18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4"/>
      <c r="X601" s="4"/>
      <c r="Y601" s="4"/>
      <c r="Z601" s="4"/>
    </row>
    <row r="602" spans="1:26" ht="14.25" customHeight="1" x14ac:dyDescent="0.3">
      <c r="A602" s="35"/>
      <c r="B602" s="4"/>
      <c r="C602" s="4"/>
      <c r="D602" s="4"/>
      <c r="E602" s="4"/>
      <c r="F602" s="4"/>
      <c r="G602" s="4"/>
      <c r="H602" s="4"/>
      <c r="I602" s="4"/>
      <c r="J602" s="18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4"/>
      <c r="X602" s="4"/>
      <c r="Y602" s="4"/>
      <c r="Z602" s="4"/>
    </row>
    <row r="603" spans="1:26" ht="14.25" customHeight="1" x14ac:dyDescent="0.3">
      <c r="A603" s="35"/>
      <c r="B603" s="4"/>
      <c r="C603" s="4"/>
      <c r="D603" s="4"/>
      <c r="E603" s="4"/>
      <c r="F603" s="4"/>
      <c r="G603" s="4"/>
      <c r="H603" s="4"/>
      <c r="I603" s="4"/>
      <c r="J603" s="18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4"/>
      <c r="X603" s="4"/>
      <c r="Y603" s="4"/>
      <c r="Z603" s="4"/>
    </row>
    <row r="604" spans="1:26" ht="14.25" customHeight="1" x14ac:dyDescent="0.3">
      <c r="A604" s="35"/>
      <c r="B604" s="4"/>
      <c r="C604" s="4"/>
      <c r="D604" s="4"/>
      <c r="E604" s="4"/>
      <c r="F604" s="4"/>
      <c r="G604" s="4"/>
      <c r="H604" s="4"/>
      <c r="I604" s="4"/>
      <c r="J604" s="18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4"/>
      <c r="X604" s="4"/>
      <c r="Y604" s="4"/>
      <c r="Z604" s="4"/>
    </row>
    <row r="605" spans="1:26" ht="14.25" customHeight="1" x14ac:dyDescent="0.3">
      <c r="A605" s="35"/>
      <c r="B605" s="4"/>
      <c r="C605" s="4"/>
      <c r="D605" s="4"/>
      <c r="E605" s="4"/>
      <c r="F605" s="4"/>
      <c r="G605" s="4"/>
      <c r="H605" s="4"/>
      <c r="I605" s="4"/>
      <c r="J605" s="18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4"/>
      <c r="X605" s="4"/>
      <c r="Y605" s="4"/>
      <c r="Z605" s="4"/>
    </row>
    <row r="606" spans="1:26" ht="14.25" customHeight="1" x14ac:dyDescent="0.3">
      <c r="A606" s="35"/>
      <c r="B606" s="4"/>
      <c r="C606" s="4"/>
      <c r="D606" s="4"/>
      <c r="E606" s="4"/>
      <c r="F606" s="4"/>
      <c r="G606" s="4"/>
      <c r="H606" s="4"/>
      <c r="I606" s="4"/>
      <c r="J606" s="18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4"/>
      <c r="X606" s="4"/>
      <c r="Y606" s="4"/>
      <c r="Z606" s="4"/>
    </row>
    <row r="607" spans="1:26" ht="14.25" customHeight="1" x14ac:dyDescent="0.3">
      <c r="A607" s="35"/>
      <c r="B607" s="4"/>
      <c r="C607" s="4"/>
      <c r="D607" s="4"/>
      <c r="E607" s="4"/>
      <c r="F607" s="4"/>
      <c r="G607" s="4"/>
      <c r="H607" s="4"/>
      <c r="I607" s="4"/>
      <c r="J607" s="18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4"/>
      <c r="X607" s="4"/>
      <c r="Y607" s="4"/>
      <c r="Z607" s="4"/>
    </row>
    <row r="608" spans="1:26" ht="14.25" customHeight="1" x14ac:dyDescent="0.3">
      <c r="A608" s="35"/>
      <c r="B608" s="4"/>
      <c r="C608" s="4"/>
      <c r="D608" s="4"/>
      <c r="E608" s="4"/>
      <c r="F608" s="4"/>
      <c r="G608" s="4"/>
      <c r="H608" s="4"/>
      <c r="I608" s="4"/>
      <c r="J608" s="18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4"/>
      <c r="X608" s="4"/>
      <c r="Y608" s="4"/>
      <c r="Z608" s="4"/>
    </row>
    <row r="609" spans="1:26" ht="14.25" customHeight="1" x14ac:dyDescent="0.3">
      <c r="A609" s="35"/>
      <c r="B609" s="4"/>
      <c r="C609" s="4"/>
      <c r="D609" s="4"/>
      <c r="E609" s="4"/>
      <c r="F609" s="4"/>
      <c r="G609" s="4"/>
      <c r="H609" s="4"/>
      <c r="I609" s="4"/>
      <c r="J609" s="18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4"/>
      <c r="X609" s="4"/>
      <c r="Y609" s="4"/>
      <c r="Z609" s="4"/>
    </row>
    <row r="610" spans="1:26" ht="14.25" customHeight="1" x14ac:dyDescent="0.3">
      <c r="A610" s="35"/>
      <c r="B610" s="4"/>
      <c r="C610" s="4"/>
      <c r="D610" s="4"/>
      <c r="E610" s="4"/>
      <c r="F610" s="4"/>
      <c r="G610" s="4"/>
      <c r="H610" s="4"/>
      <c r="I610" s="4"/>
      <c r="J610" s="18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4"/>
      <c r="X610" s="4"/>
      <c r="Y610" s="4"/>
      <c r="Z610" s="4"/>
    </row>
    <row r="611" spans="1:26" ht="14.25" customHeight="1" x14ac:dyDescent="0.3">
      <c r="A611" s="35"/>
      <c r="B611" s="4"/>
      <c r="C611" s="4"/>
      <c r="D611" s="4"/>
      <c r="E611" s="4"/>
      <c r="F611" s="4"/>
      <c r="G611" s="4"/>
      <c r="H611" s="4"/>
      <c r="I611" s="4"/>
      <c r="J611" s="18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4"/>
      <c r="X611" s="4"/>
      <c r="Y611" s="4"/>
      <c r="Z611" s="4"/>
    </row>
    <row r="612" spans="1:26" ht="14.25" customHeight="1" x14ac:dyDescent="0.3">
      <c r="A612" s="35"/>
      <c r="B612" s="4"/>
      <c r="C612" s="4"/>
      <c r="D612" s="4"/>
      <c r="E612" s="4"/>
      <c r="F612" s="4"/>
      <c r="G612" s="4"/>
      <c r="H612" s="4"/>
      <c r="I612" s="4"/>
      <c r="J612" s="18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4"/>
      <c r="X612" s="4"/>
      <c r="Y612" s="4"/>
      <c r="Z612" s="4"/>
    </row>
    <row r="613" spans="1:26" ht="14.25" customHeight="1" x14ac:dyDescent="0.3">
      <c r="A613" s="35"/>
      <c r="B613" s="4"/>
      <c r="C613" s="4"/>
      <c r="D613" s="4"/>
      <c r="E613" s="4"/>
      <c r="F613" s="4"/>
      <c r="G613" s="4"/>
      <c r="H613" s="4"/>
      <c r="I613" s="4"/>
      <c r="J613" s="18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4"/>
      <c r="X613" s="4"/>
      <c r="Y613" s="4"/>
      <c r="Z613" s="4"/>
    </row>
    <row r="614" spans="1:26" ht="14.25" customHeight="1" x14ac:dyDescent="0.3">
      <c r="A614" s="35"/>
      <c r="B614" s="4"/>
      <c r="C614" s="4"/>
      <c r="D614" s="4"/>
      <c r="E614" s="4"/>
      <c r="F614" s="4"/>
      <c r="G614" s="4"/>
      <c r="H614" s="4"/>
      <c r="I614" s="4"/>
      <c r="J614" s="18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4"/>
      <c r="X614" s="4"/>
      <c r="Y614" s="4"/>
      <c r="Z614" s="4"/>
    </row>
    <row r="615" spans="1:26" ht="14.25" customHeight="1" x14ac:dyDescent="0.3">
      <c r="A615" s="35"/>
      <c r="B615" s="4"/>
      <c r="C615" s="4"/>
      <c r="D615" s="4"/>
      <c r="E615" s="4"/>
      <c r="F615" s="4"/>
      <c r="G615" s="4"/>
      <c r="H615" s="4"/>
      <c r="I615" s="4"/>
      <c r="J615" s="18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4"/>
      <c r="X615" s="4"/>
      <c r="Y615" s="4"/>
      <c r="Z615" s="4"/>
    </row>
    <row r="616" spans="1:26" ht="14.25" customHeight="1" x14ac:dyDescent="0.3">
      <c r="A616" s="35"/>
      <c r="B616" s="4"/>
      <c r="C616" s="4"/>
      <c r="D616" s="4"/>
      <c r="E616" s="4"/>
      <c r="F616" s="4"/>
      <c r="G616" s="4"/>
      <c r="H616" s="4"/>
      <c r="I616" s="4"/>
      <c r="J616" s="18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4"/>
      <c r="X616" s="4"/>
      <c r="Y616" s="4"/>
      <c r="Z616" s="4"/>
    </row>
    <row r="617" spans="1:26" ht="14.25" customHeight="1" x14ac:dyDescent="0.3">
      <c r="A617" s="35"/>
      <c r="B617" s="4"/>
      <c r="C617" s="4"/>
      <c r="D617" s="4"/>
      <c r="E617" s="4"/>
      <c r="F617" s="4"/>
      <c r="G617" s="4"/>
      <c r="H617" s="4"/>
      <c r="I617" s="4"/>
      <c r="J617" s="18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4"/>
      <c r="X617" s="4"/>
      <c r="Y617" s="4"/>
      <c r="Z617" s="4"/>
    </row>
    <row r="618" spans="1:26" ht="14.25" customHeight="1" x14ac:dyDescent="0.3">
      <c r="A618" s="35"/>
      <c r="B618" s="4"/>
      <c r="C618" s="4"/>
      <c r="D618" s="4"/>
      <c r="E618" s="4"/>
      <c r="F618" s="4"/>
      <c r="G618" s="4"/>
      <c r="H618" s="4"/>
      <c r="I618" s="4"/>
      <c r="J618" s="18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4"/>
      <c r="X618" s="4"/>
      <c r="Y618" s="4"/>
      <c r="Z618" s="4"/>
    </row>
    <row r="619" spans="1:26" ht="14.25" customHeight="1" x14ac:dyDescent="0.3">
      <c r="A619" s="35"/>
      <c r="B619" s="4"/>
      <c r="C619" s="4"/>
      <c r="D619" s="4"/>
      <c r="E619" s="4"/>
      <c r="F619" s="4"/>
      <c r="G619" s="4"/>
      <c r="H619" s="4"/>
      <c r="I619" s="4"/>
      <c r="J619" s="18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4"/>
      <c r="X619" s="4"/>
      <c r="Y619" s="4"/>
      <c r="Z619" s="4"/>
    </row>
    <row r="620" spans="1:26" ht="14.25" customHeight="1" x14ac:dyDescent="0.3">
      <c r="A620" s="35"/>
      <c r="B620" s="4"/>
      <c r="C620" s="4"/>
      <c r="D620" s="4"/>
      <c r="E620" s="4"/>
      <c r="F620" s="4"/>
      <c r="G620" s="4"/>
      <c r="H620" s="4"/>
      <c r="I620" s="4"/>
      <c r="J620" s="18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4"/>
      <c r="X620" s="4"/>
      <c r="Y620" s="4"/>
      <c r="Z620" s="4"/>
    </row>
    <row r="621" spans="1:26" ht="14.25" customHeight="1" x14ac:dyDescent="0.3">
      <c r="A621" s="35"/>
      <c r="B621" s="4"/>
      <c r="C621" s="4"/>
      <c r="D621" s="4"/>
      <c r="E621" s="4"/>
      <c r="F621" s="4"/>
      <c r="G621" s="4"/>
      <c r="H621" s="4"/>
      <c r="I621" s="4"/>
      <c r="J621" s="18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4"/>
      <c r="X621" s="4"/>
      <c r="Y621" s="4"/>
      <c r="Z621" s="4"/>
    </row>
    <row r="622" spans="1:26" ht="14.25" customHeight="1" x14ac:dyDescent="0.3">
      <c r="A622" s="35"/>
      <c r="B622" s="4"/>
      <c r="C622" s="4"/>
      <c r="D622" s="4"/>
      <c r="E622" s="4"/>
      <c r="F622" s="4"/>
      <c r="G622" s="4"/>
      <c r="H622" s="4"/>
      <c r="I622" s="4"/>
      <c r="J622" s="18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4"/>
      <c r="X622" s="4"/>
      <c r="Y622" s="4"/>
      <c r="Z622" s="4"/>
    </row>
    <row r="623" spans="1:26" ht="14.25" customHeight="1" x14ac:dyDescent="0.3">
      <c r="A623" s="35"/>
      <c r="B623" s="4"/>
      <c r="C623" s="4"/>
      <c r="D623" s="4"/>
      <c r="E623" s="4"/>
      <c r="F623" s="4"/>
      <c r="G623" s="4"/>
      <c r="H623" s="4"/>
      <c r="I623" s="4"/>
      <c r="J623" s="18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4"/>
      <c r="X623" s="4"/>
      <c r="Y623" s="4"/>
      <c r="Z623" s="4"/>
    </row>
    <row r="624" spans="1:26" ht="14.25" customHeight="1" x14ac:dyDescent="0.3">
      <c r="A624" s="35"/>
      <c r="B624" s="4"/>
      <c r="C624" s="4"/>
      <c r="D624" s="4"/>
      <c r="E624" s="4"/>
      <c r="F624" s="4"/>
      <c r="G624" s="4"/>
      <c r="H624" s="4"/>
      <c r="I624" s="4"/>
      <c r="J624" s="18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4"/>
      <c r="X624" s="4"/>
      <c r="Y624" s="4"/>
      <c r="Z624" s="4"/>
    </row>
    <row r="625" spans="1:26" ht="14.25" customHeight="1" x14ac:dyDescent="0.3">
      <c r="A625" s="35"/>
      <c r="B625" s="4"/>
      <c r="C625" s="4"/>
      <c r="D625" s="4"/>
      <c r="E625" s="4"/>
      <c r="F625" s="4"/>
      <c r="G625" s="4"/>
      <c r="H625" s="4"/>
      <c r="I625" s="4"/>
      <c r="J625" s="18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4"/>
      <c r="X625" s="4"/>
      <c r="Y625" s="4"/>
      <c r="Z625" s="4"/>
    </row>
    <row r="626" spans="1:26" ht="14.25" customHeight="1" x14ac:dyDescent="0.3">
      <c r="A626" s="35"/>
      <c r="B626" s="4"/>
      <c r="C626" s="4"/>
      <c r="D626" s="4"/>
      <c r="E626" s="4"/>
      <c r="F626" s="4"/>
      <c r="G626" s="4"/>
      <c r="H626" s="4"/>
      <c r="I626" s="4"/>
      <c r="J626" s="18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4"/>
      <c r="X626" s="4"/>
      <c r="Y626" s="4"/>
      <c r="Z626" s="4"/>
    </row>
    <row r="627" spans="1:26" ht="14.25" customHeight="1" x14ac:dyDescent="0.3">
      <c r="A627" s="35"/>
      <c r="B627" s="4"/>
      <c r="C627" s="4"/>
      <c r="D627" s="4"/>
      <c r="E627" s="4"/>
      <c r="F627" s="4"/>
      <c r="G627" s="4"/>
      <c r="H627" s="4"/>
      <c r="I627" s="4"/>
      <c r="J627" s="18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4"/>
      <c r="X627" s="4"/>
      <c r="Y627" s="4"/>
      <c r="Z627" s="4"/>
    </row>
    <row r="628" spans="1:26" ht="14.25" customHeight="1" x14ac:dyDescent="0.3">
      <c r="A628" s="35"/>
      <c r="B628" s="4"/>
      <c r="C628" s="4"/>
      <c r="D628" s="4"/>
      <c r="E628" s="4"/>
      <c r="F628" s="4"/>
      <c r="G628" s="4"/>
      <c r="H628" s="4"/>
      <c r="I628" s="4"/>
      <c r="J628" s="18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4"/>
      <c r="X628" s="4"/>
      <c r="Y628" s="4"/>
      <c r="Z628" s="4"/>
    </row>
    <row r="629" spans="1:26" ht="14.25" customHeight="1" x14ac:dyDescent="0.3">
      <c r="A629" s="35"/>
      <c r="B629" s="4"/>
      <c r="C629" s="4"/>
      <c r="D629" s="4"/>
      <c r="E629" s="4"/>
      <c r="F629" s="4"/>
      <c r="G629" s="4"/>
      <c r="H629" s="4"/>
      <c r="I629" s="4"/>
      <c r="J629" s="18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4"/>
      <c r="X629" s="4"/>
      <c r="Y629" s="4"/>
      <c r="Z629" s="4"/>
    </row>
    <row r="630" spans="1:26" ht="14.25" customHeight="1" x14ac:dyDescent="0.3">
      <c r="A630" s="35"/>
      <c r="B630" s="4"/>
      <c r="C630" s="4"/>
      <c r="D630" s="4"/>
      <c r="E630" s="4"/>
      <c r="F630" s="4"/>
      <c r="G630" s="4"/>
      <c r="H630" s="4"/>
      <c r="I630" s="4"/>
      <c r="J630" s="18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4"/>
      <c r="X630" s="4"/>
      <c r="Y630" s="4"/>
      <c r="Z630" s="4"/>
    </row>
    <row r="631" spans="1:26" ht="14.25" customHeight="1" x14ac:dyDescent="0.3">
      <c r="A631" s="35"/>
      <c r="B631" s="4"/>
      <c r="C631" s="4"/>
      <c r="D631" s="4"/>
      <c r="E631" s="4"/>
      <c r="F631" s="4"/>
      <c r="G631" s="4"/>
      <c r="H631" s="4"/>
      <c r="I631" s="4"/>
      <c r="J631" s="18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4"/>
      <c r="X631" s="4"/>
      <c r="Y631" s="4"/>
      <c r="Z631" s="4"/>
    </row>
    <row r="632" spans="1:26" ht="14.25" customHeight="1" x14ac:dyDescent="0.3">
      <c r="A632" s="35"/>
      <c r="B632" s="4"/>
      <c r="C632" s="4"/>
      <c r="D632" s="4"/>
      <c r="E632" s="4"/>
      <c r="F632" s="4"/>
      <c r="G632" s="4"/>
      <c r="H632" s="4"/>
      <c r="I632" s="4"/>
      <c r="J632" s="18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4"/>
      <c r="X632" s="4"/>
      <c r="Y632" s="4"/>
      <c r="Z632" s="4"/>
    </row>
    <row r="633" spans="1:26" ht="14.25" customHeight="1" x14ac:dyDescent="0.3">
      <c r="A633" s="35"/>
      <c r="B633" s="4"/>
      <c r="C633" s="4"/>
      <c r="D633" s="4"/>
      <c r="E633" s="4"/>
      <c r="F633" s="4"/>
      <c r="G633" s="4"/>
      <c r="H633" s="4"/>
      <c r="I633" s="4"/>
      <c r="J633" s="18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4"/>
      <c r="X633" s="4"/>
      <c r="Y633" s="4"/>
      <c r="Z633" s="4"/>
    </row>
    <row r="634" spans="1:26" ht="14.25" customHeight="1" x14ac:dyDescent="0.3">
      <c r="A634" s="35"/>
      <c r="B634" s="4"/>
      <c r="C634" s="4"/>
      <c r="D634" s="4"/>
      <c r="E634" s="4"/>
      <c r="F634" s="4"/>
      <c r="G634" s="4"/>
      <c r="H634" s="4"/>
      <c r="I634" s="4"/>
      <c r="J634" s="18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4"/>
      <c r="X634" s="4"/>
      <c r="Y634" s="4"/>
      <c r="Z634" s="4"/>
    </row>
    <row r="635" spans="1:26" ht="14.25" customHeight="1" x14ac:dyDescent="0.3">
      <c r="A635" s="35"/>
      <c r="B635" s="4"/>
      <c r="C635" s="4"/>
      <c r="D635" s="4"/>
      <c r="E635" s="4"/>
      <c r="F635" s="4"/>
      <c r="G635" s="4"/>
      <c r="H635" s="4"/>
      <c r="I635" s="4"/>
      <c r="J635" s="18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4"/>
      <c r="X635" s="4"/>
      <c r="Y635" s="4"/>
      <c r="Z635" s="4"/>
    </row>
    <row r="636" spans="1:26" ht="14.25" customHeight="1" x14ac:dyDescent="0.3">
      <c r="A636" s="35"/>
      <c r="B636" s="4"/>
      <c r="C636" s="4"/>
      <c r="D636" s="4"/>
      <c r="E636" s="4"/>
      <c r="F636" s="4"/>
      <c r="G636" s="4"/>
      <c r="H636" s="4"/>
      <c r="I636" s="4"/>
      <c r="J636" s="18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4"/>
      <c r="X636" s="4"/>
      <c r="Y636" s="4"/>
      <c r="Z636" s="4"/>
    </row>
    <row r="637" spans="1:26" ht="14.25" customHeight="1" x14ac:dyDescent="0.3">
      <c r="A637" s="35"/>
      <c r="B637" s="4"/>
      <c r="C637" s="4"/>
      <c r="D637" s="4"/>
      <c r="E637" s="4"/>
      <c r="F637" s="4"/>
      <c r="G637" s="4"/>
      <c r="H637" s="4"/>
      <c r="I637" s="4"/>
      <c r="J637" s="18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4"/>
      <c r="X637" s="4"/>
      <c r="Y637" s="4"/>
      <c r="Z637" s="4"/>
    </row>
    <row r="638" spans="1:26" ht="14.25" customHeight="1" x14ac:dyDescent="0.3">
      <c r="A638" s="35"/>
      <c r="B638" s="4"/>
      <c r="C638" s="4"/>
      <c r="D638" s="4"/>
      <c r="E638" s="4"/>
      <c r="F638" s="4"/>
      <c r="G638" s="4"/>
      <c r="H638" s="4"/>
      <c r="I638" s="4"/>
      <c r="J638" s="18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4"/>
      <c r="X638" s="4"/>
      <c r="Y638" s="4"/>
      <c r="Z638" s="4"/>
    </row>
    <row r="639" spans="1:26" ht="14.25" customHeight="1" x14ac:dyDescent="0.3">
      <c r="A639" s="35"/>
      <c r="B639" s="4"/>
      <c r="C639" s="4"/>
      <c r="D639" s="4"/>
      <c r="E639" s="4"/>
      <c r="F639" s="4"/>
      <c r="G639" s="4"/>
      <c r="H639" s="4"/>
      <c r="I639" s="4"/>
      <c r="J639" s="18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4"/>
      <c r="X639" s="4"/>
      <c r="Y639" s="4"/>
      <c r="Z639" s="4"/>
    </row>
    <row r="640" spans="1:26" ht="14.25" customHeight="1" x14ac:dyDescent="0.3">
      <c r="A640" s="35"/>
      <c r="B640" s="4"/>
      <c r="C640" s="4"/>
      <c r="D640" s="4"/>
      <c r="E640" s="4"/>
      <c r="F640" s="4"/>
      <c r="G640" s="4"/>
      <c r="H640" s="4"/>
      <c r="I640" s="4"/>
      <c r="J640" s="18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4"/>
      <c r="X640" s="4"/>
      <c r="Y640" s="4"/>
      <c r="Z640" s="4"/>
    </row>
    <row r="641" spans="1:26" ht="14.25" customHeight="1" x14ac:dyDescent="0.3">
      <c r="A641" s="35"/>
      <c r="B641" s="4"/>
      <c r="C641" s="4"/>
      <c r="D641" s="4"/>
      <c r="E641" s="4"/>
      <c r="F641" s="4"/>
      <c r="G641" s="4"/>
      <c r="H641" s="4"/>
      <c r="I641" s="4"/>
      <c r="J641" s="18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4"/>
      <c r="X641" s="4"/>
      <c r="Y641" s="4"/>
      <c r="Z641" s="4"/>
    </row>
    <row r="642" spans="1:26" ht="14.25" customHeight="1" x14ac:dyDescent="0.3">
      <c r="A642" s="35"/>
      <c r="B642" s="4"/>
      <c r="C642" s="4"/>
      <c r="D642" s="4"/>
      <c r="E642" s="4"/>
      <c r="F642" s="4"/>
      <c r="G642" s="4"/>
      <c r="H642" s="4"/>
      <c r="I642" s="4"/>
      <c r="J642" s="18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4"/>
      <c r="X642" s="4"/>
      <c r="Y642" s="4"/>
      <c r="Z642" s="4"/>
    </row>
    <row r="643" spans="1:26" ht="14.25" customHeight="1" x14ac:dyDescent="0.3">
      <c r="A643" s="35"/>
      <c r="B643" s="4"/>
      <c r="C643" s="4"/>
      <c r="D643" s="4"/>
      <c r="E643" s="4"/>
      <c r="F643" s="4"/>
      <c r="G643" s="4"/>
      <c r="H643" s="4"/>
      <c r="I643" s="4"/>
      <c r="J643" s="18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4"/>
      <c r="X643" s="4"/>
      <c r="Y643" s="4"/>
      <c r="Z643" s="4"/>
    </row>
    <row r="644" spans="1:26" ht="14.25" customHeight="1" x14ac:dyDescent="0.3">
      <c r="A644" s="35"/>
      <c r="B644" s="4"/>
      <c r="C644" s="4"/>
      <c r="D644" s="4"/>
      <c r="E644" s="4"/>
      <c r="F644" s="4"/>
      <c r="G644" s="4"/>
      <c r="H644" s="4"/>
      <c r="I644" s="4"/>
      <c r="J644" s="18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4"/>
      <c r="X644" s="4"/>
      <c r="Y644" s="4"/>
      <c r="Z644" s="4"/>
    </row>
    <row r="645" spans="1:26" ht="14.25" customHeight="1" x14ac:dyDescent="0.3">
      <c r="A645" s="35"/>
      <c r="B645" s="4"/>
      <c r="C645" s="4"/>
      <c r="D645" s="4"/>
      <c r="E645" s="4"/>
      <c r="F645" s="4"/>
      <c r="G645" s="4"/>
      <c r="H645" s="4"/>
      <c r="I645" s="4"/>
      <c r="J645" s="18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4"/>
      <c r="X645" s="4"/>
      <c r="Y645" s="4"/>
      <c r="Z645" s="4"/>
    </row>
    <row r="646" spans="1:26" ht="14.25" customHeight="1" x14ac:dyDescent="0.3">
      <c r="A646" s="35"/>
      <c r="B646" s="4"/>
      <c r="C646" s="4"/>
      <c r="D646" s="4"/>
      <c r="E646" s="4"/>
      <c r="F646" s="4"/>
      <c r="G646" s="4"/>
      <c r="H646" s="4"/>
      <c r="I646" s="4"/>
      <c r="J646" s="18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4"/>
      <c r="X646" s="4"/>
      <c r="Y646" s="4"/>
      <c r="Z646" s="4"/>
    </row>
    <row r="647" spans="1:26" ht="14.25" customHeight="1" x14ac:dyDescent="0.3">
      <c r="A647" s="35"/>
      <c r="B647" s="4"/>
      <c r="C647" s="4"/>
      <c r="D647" s="4"/>
      <c r="E647" s="4"/>
      <c r="F647" s="4"/>
      <c r="G647" s="4"/>
      <c r="H647" s="4"/>
      <c r="I647" s="4"/>
      <c r="J647" s="18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4"/>
      <c r="X647" s="4"/>
      <c r="Y647" s="4"/>
      <c r="Z647" s="4"/>
    </row>
    <row r="648" spans="1:26" ht="14.25" customHeight="1" x14ac:dyDescent="0.3">
      <c r="A648" s="35"/>
      <c r="B648" s="4"/>
      <c r="C648" s="4"/>
      <c r="D648" s="4"/>
      <c r="E648" s="4"/>
      <c r="F648" s="4"/>
      <c r="G648" s="4"/>
      <c r="H648" s="4"/>
      <c r="I648" s="4"/>
      <c r="J648" s="18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4"/>
      <c r="X648" s="4"/>
      <c r="Y648" s="4"/>
      <c r="Z648" s="4"/>
    </row>
    <row r="649" spans="1:26" ht="14.25" customHeight="1" x14ac:dyDescent="0.3">
      <c r="A649" s="35"/>
      <c r="B649" s="4"/>
      <c r="C649" s="4"/>
      <c r="D649" s="4"/>
      <c r="E649" s="4"/>
      <c r="F649" s="4"/>
      <c r="G649" s="4"/>
      <c r="H649" s="4"/>
      <c r="I649" s="4"/>
      <c r="J649" s="18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4"/>
      <c r="X649" s="4"/>
      <c r="Y649" s="4"/>
      <c r="Z649" s="4"/>
    </row>
    <row r="650" spans="1:26" ht="14.25" customHeight="1" x14ac:dyDescent="0.3">
      <c r="A650" s="35"/>
      <c r="B650" s="4"/>
      <c r="C650" s="4"/>
      <c r="D650" s="4"/>
      <c r="E650" s="4"/>
      <c r="F650" s="4"/>
      <c r="G650" s="4"/>
      <c r="H650" s="4"/>
      <c r="I650" s="4"/>
      <c r="J650" s="18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4"/>
      <c r="X650" s="4"/>
      <c r="Y650" s="4"/>
      <c r="Z650" s="4"/>
    </row>
    <row r="651" spans="1:26" ht="14.25" customHeight="1" x14ac:dyDescent="0.3">
      <c r="A651" s="35"/>
      <c r="B651" s="4"/>
      <c r="C651" s="4"/>
      <c r="D651" s="4"/>
      <c r="E651" s="4"/>
      <c r="F651" s="4"/>
      <c r="G651" s="4"/>
      <c r="H651" s="4"/>
      <c r="I651" s="4"/>
      <c r="J651" s="18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4"/>
      <c r="X651" s="4"/>
      <c r="Y651" s="4"/>
      <c r="Z651" s="4"/>
    </row>
    <row r="652" spans="1:26" ht="14.25" customHeight="1" x14ac:dyDescent="0.3">
      <c r="A652" s="35"/>
      <c r="B652" s="4"/>
      <c r="C652" s="4"/>
      <c r="D652" s="4"/>
      <c r="E652" s="4"/>
      <c r="F652" s="4"/>
      <c r="G652" s="4"/>
      <c r="H652" s="4"/>
      <c r="I652" s="4"/>
      <c r="J652" s="18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4"/>
      <c r="X652" s="4"/>
      <c r="Y652" s="4"/>
      <c r="Z652" s="4"/>
    </row>
    <row r="653" spans="1:26" ht="14.25" customHeight="1" x14ac:dyDescent="0.3">
      <c r="A653" s="35"/>
      <c r="B653" s="4"/>
      <c r="C653" s="4"/>
      <c r="D653" s="4"/>
      <c r="E653" s="4"/>
      <c r="F653" s="4"/>
      <c r="G653" s="4"/>
      <c r="H653" s="4"/>
      <c r="I653" s="4"/>
      <c r="J653" s="18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4"/>
      <c r="X653" s="4"/>
      <c r="Y653" s="4"/>
      <c r="Z653" s="4"/>
    </row>
    <row r="654" spans="1:26" ht="14.25" customHeight="1" x14ac:dyDescent="0.3">
      <c r="A654" s="35"/>
      <c r="B654" s="4"/>
      <c r="C654" s="4"/>
      <c r="D654" s="4"/>
      <c r="E654" s="4"/>
      <c r="F654" s="4"/>
      <c r="G654" s="4"/>
      <c r="H654" s="4"/>
      <c r="I654" s="4"/>
      <c r="J654" s="18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4"/>
      <c r="X654" s="4"/>
      <c r="Y654" s="4"/>
      <c r="Z654" s="4"/>
    </row>
    <row r="655" spans="1:26" ht="14.25" customHeight="1" x14ac:dyDescent="0.3">
      <c r="A655" s="35"/>
      <c r="B655" s="4"/>
      <c r="C655" s="4"/>
      <c r="D655" s="4"/>
      <c r="E655" s="4"/>
      <c r="F655" s="4"/>
      <c r="G655" s="4"/>
      <c r="H655" s="4"/>
      <c r="I655" s="4"/>
      <c r="J655" s="18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4"/>
      <c r="X655" s="4"/>
      <c r="Y655" s="4"/>
      <c r="Z655" s="4"/>
    </row>
    <row r="656" spans="1:26" ht="14.25" customHeight="1" x14ac:dyDescent="0.3">
      <c r="A656" s="35"/>
      <c r="B656" s="4"/>
      <c r="C656" s="4"/>
      <c r="D656" s="4"/>
      <c r="E656" s="4"/>
      <c r="F656" s="4"/>
      <c r="G656" s="4"/>
      <c r="H656" s="4"/>
      <c r="I656" s="4"/>
      <c r="J656" s="18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4"/>
      <c r="X656" s="4"/>
      <c r="Y656" s="4"/>
      <c r="Z656" s="4"/>
    </row>
    <row r="657" spans="1:26" ht="14.25" customHeight="1" x14ac:dyDescent="0.3">
      <c r="A657" s="35"/>
      <c r="B657" s="4"/>
      <c r="C657" s="4"/>
      <c r="D657" s="4"/>
      <c r="E657" s="4"/>
      <c r="F657" s="4"/>
      <c r="G657" s="4"/>
      <c r="H657" s="4"/>
      <c r="I657" s="4"/>
      <c r="J657" s="18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4"/>
      <c r="X657" s="4"/>
      <c r="Y657" s="4"/>
      <c r="Z657" s="4"/>
    </row>
    <row r="658" spans="1:26" ht="14.25" customHeight="1" x14ac:dyDescent="0.3">
      <c r="A658" s="35"/>
      <c r="B658" s="4"/>
      <c r="C658" s="4"/>
      <c r="D658" s="4"/>
      <c r="E658" s="4"/>
      <c r="F658" s="4"/>
      <c r="G658" s="4"/>
      <c r="H658" s="4"/>
      <c r="I658" s="4"/>
      <c r="J658" s="18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4"/>
      <c r="X658" s="4"/>
      <c r="Y658" s="4"/>
      <c r="Z658" s="4"/>
    </row>
    <row r="659" spans="1:26" ht="14.25" customHeight="1" x14ac:dyDescent="0.3">
      <c r="A659" s="35"/>
      <c r="B659" s="4"/>
      <c r="C659" s="4"/>
      <c r="D659" s="4"/>
      <c r="E659" s="4"/>
      <c r="F659" s="4"/>
      <c r="G659" s="4"/>
      <c r="H659" s="4"/>
      <c r="I659" s="4"/>
      <c r="J659" s="18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4"/>
      <c r="X659" s="4"/>
      <c r="Y659" s="4"/>
      <c r="Z659" s="4"/>
    </row>
    <row r="660" spans="1:26" ht="14.25" customHeight="1" x14ac:dyDescent="0.3">
      <c r="A660" s="35"/>
      <c r="B660" s="4"/>
      <c r="C660" s="4"/>
      <c r="D660" s="4"/>
      <c r="E660" s="4"/>
      <c r="F660" s="4"/>
      <c r="G660" s="4"/>
      <c r="H660" s="4"/>
      <c r="I660" s="4"/>
      <c r="J660" s="18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4"/>
      <c r="X660" s="4"/>
      <c r="Y660" s="4"/>
      <c r="Z660" s="4"/>
    </row>
    <row r="661" spans="1:26" ht="14.25" customHeight="1" x14ac:dyDescent="0.3">
      <c r="A661" s="35"/>
      <c r="B661" s="4"/>
      <c r="C661" s="4"/>
      <c r="D661" s="4"/>
      <c r="E661" s="4"/>
      <c r="F661" s="4"/>
      <c r="G661" s="4"/>
      <c r="H661" s="4"/>
      <c r="I661" s="4"/>
      <c r="J661" s="18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4"/>
      <c r="X661" s="4"/>
      <c r="Y661" s="4"/>
      <c r="Z661" s="4"/>
    </row>
    <row r="662" spans="1:26" ht="14.25" customHeight="1" x14ac:dyDescent="0.3">
      <c r="A662" s="35"/>
      <c r="B662" s="4"/>
      <c r="C662" s="4"/>
      <c r="D662" s="4"/>
      <c r="E662" s="4"/>
      <c r="F662" s="4"/>
      <c r="G662" s="4"/>
      <c r="H662" s="4"/>
      <c r="I662" s="4"/>
      <c r="J662" s="18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4"/>
      <c r="X662" s="4"/>
      <c r="Y662" s="4"/>
      <c r="Z662" s="4"/>
    </row>
    <row r="663" spans="1:26" ht="14.25" customHeight="1" x14ac:dyDescent="0.3">
      <c r="A663" s="35"/>
      <c r="B663" s="4"/>
      <c r="C663" s="4"/>
      <c r="D663" s="4"/>
      <c r="E663" s="4"/>
      <c r="F663" s="4"/>
      <c r="G663" s="4"/>
      <c r="H663" s="4"/>
      <c r="I663" s="4"/>
      <c r="J663" s="18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4"/>
      <c r="X663" s="4"/>
      <c r="Y663" s="4"/>
      <c r="Z663" s="4"/>
    </row>
    <row r="664" spans="1:26" ht="14.25" customHeight="1" x14ac:dyDescent="0.3">
      <c r="A664" s="35"/>
      <c r="B664" s="4"/>
      <c r="C664" s="4"/>
      <c r="D664" s="4"/>
      <c r="E664" s="4"/>
      <c r="F664" s="4"/>
      <c r="G664" s="4"/>
      <c r="H664" s="4"/>
      <c r="I664" s="4"/>
      <c r="J664" s="18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4"/>
      <c r="X664" s="4"/>
      <c r="Y664" s="4"/>
      <c r="Z664" s="4"/>
    </row>
    <row r="665" spans="1:26" ht="14.25" customHeight="1" x14ac:dyDescent="0.3">
      <c r="A665" s="35"/>
      <c r="B665" s="4"/>
      <c r="C665" s="4"/>
      <c r="D665" s="4"/>
      <c r="E665" s="4"/>
      <c r="F665" s="4"/>
      <c r="G665" s="4"/>
      <c r="H665" s="4"/>
      <c r="I665" s="4"/>
      <c r="J665" s="18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4"/>
      <c r="X665" s="4"/>
      <c r="Y665" s="4"/>
      <c r="Z665" s="4"/>
    </row>
    <row r="666" spans="1:26" ht="14.25" customHeight="1" x14ac:dyDescent="0.3">
      <c r="A666" s="35"/>
      <c r="B666" s="4"/>
      <c r="C666" s="4"/>
      <c r="D666" s="4"/>
      <c r="E666" s="4"/>
      <c r="F666" s="4"/>
      <c r="G666" s="4"/>
      <c r="H666" s="4"/>
      <c r="I666" s="4"/>
      <c r="J666" s="18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4"/>
      <c r="X666" s="4"/>
      <c r="Y666" s="4"/>
      <c r="Z666" s="4"/>
    </row>
    <row r="667" spans="1:26" ht="14.25" customHeight="1" x14ac:dyDescent="0.3">
      <c r="A667" s="35"/>
      <c r="B667" s="4"/>
      <c r="C667" s="4"/>
      <c r="D667" s="4"/>
      <c r="E667" s="4"/>
      <c r="F667" s="4"/>
      <c r="G667" s="4"/>
      <c r="H667" s="4"/>
      <c r="I667" s="4"/>
      <c r="J667" s="18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4"/>
      <c r="X667" s="4"/>
      <c r="Y667" s="4"/>
      <c r="Z667" s="4"/>
    </row>
    <row r="668" spans="1:26" ht="14.25" customHeight="1" x14ac:dyDescent="0.3">
      <c r="A668" s="35"/>
      <c r="B668" s="4"/>
      <c r="C668" s="4"/>
      <c r="D668" s="4"/>
      <c r="E668" s="4"/>
      <c r="F668" s="4"/>
      <c r="G668" s="4"/>
      <c r="H668" s="4"/>
      <c r="I668" s="4"/>
      <c r="J668" s="18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4"/>
      <c r="X668" s="4"/>
      <c r="Y668" s="4"/>
      <c r="Z668" s="4"/>
    </row>
    <row r="669" spans="1:26" ht="14.25" customHeight="1" x14ac:dyDescent="0.3">
      <c r="A669" s="35"/>
      <c r="B669" s="4"/>
      <c r="C669" s="4"/>
      <c r="D669" s="4"/>
      <c r="E669" s="4"/>
      <c r="F669" s="4"/>
      <c r="G669" s="4"/>
      <c r="H669" s="4"/>
      <c r="I669" s="4"/>
      <c r="J669" s="18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4"/>
      <c r="X669" s="4"/>
      <c r="Y669" s="4"/>
      <c r="Z669" s="4"/>
    </row>
    <row r="670" spans="1:26" ht="14.25" customHeight="1" x14ac:dyDescent="0.3">
      <c r="A670" s="35"/>
      <c r="B670" s="4"/>
      <c r="C670" s="4"/>
      <c r="D670" s="4"/>
      <c r="E670" s="4"/>
      <c r="F670" s="4"/>
      <c r="G670" s="4"/>
      <c r="H670" s="4"/>
      <c r="I670" s="4"/>
      <c r="J670" s="18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4"/>
      <c r="X670" s="4"/>
      <c r="Y670" s="4"/>
      <c r="Z670" s="4"/>
    </row>
    <row r="671" spans="1:26" ht="14.25" customHeight="1" x14ac:dyDescent="0.3">
      <c r="A671" s="35"/>
      <c r="B671" s="4"/>
      <c r="C671" s="4"/>
      <c r="D671" s="4"/>
      <c r="E671" s="4"/>
      <c r="F671" s="4"/>
      <c r="G671" s="4"/>
      <c r="H671" s="4"/>
      <c r="I671" s="4"/>
      <c r="J671" s="18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4"/>
      <c r="X671" s="4"/>
      <c r="Y671" s="4"/>
      <c r="Z671" s="4"/>
    </row>
    <row r="672" spans="1:26" ht="14.25" customHeight="1" x14ac:dyDescent="0.3">
      <c r="A672" s="35"/>
      <c r="B672" s="4"/>
      <c r="C672" s="4"/>
      <c r="D672" s="4"/>
      <c r="E672" s="4"/>
      <c r="F672" s="4"/>
      <c r="G672" s="4"/>
      <c r="H672" s="4"/>
      <c r="I672" s="4"/>
      <c r="J672" s="18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4"/>
      <c r="X672" s="4"/>
      <c r="Y672" s="4"/>
      <c r="Z672" s="4"/>
    </row>
    <row r="673" spans="1:26" ht="14.25" customHeight="1" x14ac:dyDescent="0.3">
      <c r="A673" s="35"/>
      <c r="B673" s="4"/>
      <c r="C673" s="4"/>
      <c r="D673" s="4"/>
      <c r="E673" s="4"/>
      <c r="F673" s="4"/>
      <c r="G673" s="4"/>
      <c r="H673" s="4"/>
      <c r="I673" s="4"/>
      <c r="J673" s="18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4"/>
      <c r="X673" s="4"/>
      <c r="Y673" s="4"/>
      <c r="Z673" s="4"/>
    </row>
    <row r="674" spans="1:26" ht="14.25" customHeight="1" x14ac:dyDescent="0.3">
      <c r="A674" s="35"/>
      <c r="B674" s="4"/>
      <c r="C674" s="4"/>
      <c r="D674" s="4"/>
      <c r="E674" s="4"/>
      <c r="F674" s="4"/>
      <c r="G674" s="4"/>
      <c r="H674" s="4"/>
      <c r="I674" s="4"/>
      <c r="J674" s="18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4"/>
      <c r="X674" s="4"/>
      <c r="Y674" s="4"/>
      <c r="Z674" s="4"/>
    </row>
    <row r="675" spans="1:26" ht="14.25" customHeight="1" x14ac:dyDescent="0.3">
      <c r="A675" s="35"/>
      <c r="B675" s="4"/>
      <c r="C675" s="4"/>
      <c r="D675" s="4"/>
      <c r="E675" s="4"/>
      <c r="F675" s="4"/>
      <c r="G675" s="4"/>
      <c r="H675" s="4"/>
      <c r="I675" s="4"/>
      <c r="J675" s="18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4"/>
      <c r="X675" s="4"/>
      <c r="Y675" s="4"/>
      <c r="Z675" s="4"/>
    </row>
    <row r="676" spans="1:26" ht="14.25" customHeight="1" x14ac:dyDescent="0.3">
      <c r="A676" s="35"/>
      <c r="B676" s="4"/>
      <c r="C676" s="4"/>
      <c r="D676" s="4"/>
      <c r="E676" s="4"/>
      <c r="F676" s="4"/>
      <c r="G676" s="4"/>
      <c r="H676" s="4"/>
      <c r="I676" s="4"/>
      <c r="J676" s="18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4"/>
      <c r="X676" s="4"/>
      <c r="Y676" s="4"/>
      <c r="Z676" s="4"/>
    </row>
    <row r="677" spans="1:26" ht="14.25" customHeight="1" x14ac:dyDescent="0.3">
      <c r="A677" s="35"/>
      <c r="B677" s="4"/>
      <c r="C677" s="4"/>
      <c r="D677" s="4"/>
      <c r="E677" s="4"/>
      <c r="F677" s="4"/>
      <c r="G677" s="4"/>
      <c r="H677" s="4"/>
      <c r="I677" s="4"/>
      <c r="J677" s="18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4"/>
      <c r="X677" s="4"/>
      <c r="Y677" s="4"/>
      <c r="Z677" s="4"/>
    </row>
    <row r="678" spans="1:26" ht="14.25" customHeight="1" x14ac:dyDescent="0.3">
      <c r="A678" s="35"/>
      <c r="B678" s="4"/>
      <c r="C678" s="4"/>
      <c r="D678" s="4"/>
      <c r="E678" s="4"/>
      <c r="F678" s="4"/>
      <c r="G678" s="4"/>
      <c r="H678" s="4"/>
      <c r="I678" s="4"/>
      <c r="J678" s="18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4"/>
      <c r="X678" s="4"/>
      <c r="Y678" s="4"/>
      <c r="Z678" s="4"/>
    </row>
    <row r="679" spans="1:26" ht="14.25" customHeight="1" x14ac:dyDescent="0.3">
      <c r="A679" s="35"/>
      <c r="B679" s="4"/>
      <c r="C679" s="4"/>
      <c r="D679" s="4"/>
      <c r="E679" s="4"/>
      <c r="F679" s="4"/>
      <c r="G679" s="4"/>
      <c r="H679" s="4"/>
      <c r="I679" s="4"/>
      <c r="J679" s="18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4"/>
      <c r="X679" s="4"/>
      <c r="Y679" s="4"/>
      <c r="Z679" s="4"/>
    </row>
    <row r="680" spans="1:26" ht="14.25" customHeight="1" x14ac:dyDescent="0.3">
      <c r="A680" s="35"/>
      <c r="B680" s="4"/>
      <c r="C680" s="4"/>
      <c r="D680" s="4"/>
      <c r="E680" s="4"/>
      <c r="F680" s="4"/>
      <c r="G680" s="4"/>
      <c r="H680" s="4"/>
      <c r="I680" s="4"/>
      <c r="J680" s="18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4"/>
      <c r="X680" s="4"/>
      <c r="Y680" s="4"/>
      <c r="Z680" s="4"/>
    </row>
    <row r="681" spans="1:26" ht="14.25" customHeight="1" x14ac:dyDescent="0.3">
      <c r="A681" s="35"/>
      <c r="B681" s="4"/>
      <c r="C681" s="4"/>
      <c r="D681" s="4"/>
      <c r="E681" s="4"/>
      <c r="F681" s="4"/>
      <c r="G681" s="4"/>
      <c r="H681" s="4"/>
      <c r="I681" s="4"/>
      <c r="J681" s="18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4"/>
      <c r="X681" s="4"/>
      <c r="Y681" s="4"/>
      <c r="Z681" s="4"/>
    </row>
    <row r="682" spans="1:26" ht="14.25" customHeight="1" x14ac:dyDescent="0.3">
      <c r="A682" s="35"/>
      <c r="B682" s="4"/>
      <c r="C682" s="4"/>
      <c r="D682" s="4"/>
      <c r="E682" s="4"/>
      <c r="F682" s="4"/>
      <c r="G682" s="4"/>
      <c r="H682" s="4"/>
      <c r="I682" s="4"/>
      <c r="J682" s="18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4"/>
      <c r="X682" s="4"/>
      <c r="Y682" s="4"/>
      <c r="Z682" s="4"/>
    </row>
    <row r="683" spans="1:26" ht="14.25" customHeight="1" x14ac:dyDescent="0.3">
      <c r="A683" s="35"/>
      <c r="B683" s="4"/>
      <c r="C683" s="4"/>
      <c r="D683" s="4"/>
      <c r="E683" s="4"/>
      <c r="F683" s="4"/>
      <c r="G683" s="4"/>
      <c r="H683" s="4"/>
      <c r="I683" s="4"/>
      <c r="J683" s="18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4"/>
      <c r="X683" s="4"/>
      <c r="Y683" s="4"/>
      <c r="Z683" s="4"/>
    </row>
    <row r="684" spans="1:26" ht="14.25" customHeight="1" x14ac:dyDescent="0.3">
      <c r="A684" s="35"/>
      <c r="B684" s="4"/>
      <c r="C684" s="4"/>
      <c r="D684" s="4"/>
      <c r="E684" s="4"/>
      <c r="F684" s="4"/>
      <c r="G684" s="4"/>
      <c r="H684" s="4"/>
      <c r="I684" s="4"/>
      <c r="J684" s="18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4"/>
      <c r="X684" s="4"/>
      <c r="Y684" s="4"/>
      <c r="Z684" s="4"/>
    </row>
    <row r="685" spans="1:26" ht="14.25" customHeight="1" x14ac:dyDescent="0.3">
      <c r="A685" s="35"/>
      <c r="B685" s="4"/>
      <c r="C685" s="4"/>
      <c r="D685" s="4"/>
      <c r="E685" s="4"/>
      <c r="F685" s="4"/>
      <c r="G685" s="4"/>
      <c r="H685" s="4"/>
      <c r="I685" s="4"/>
      <c r="J685" s="18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4"/>
      <c r="X685" s="4"/>
      <c r="Y685" s="4"/>
      <c r="Z685" s="4"/>
    </row>
    <row r="686" spans="1:26" ht="14.25" customHeight="1" x14ac:dyDescent="0.3">
      <c r="A686" s="35"/>
      <c r="B686" s="4"/>
      <c r="C686" s="4"/>
      <c r="D686" s="4"/>
      <c r="E686" s="4"/>
      <c r="F686" s="4"/>
      <c r="G686" s="4"/>
      <c r="H686" s="4"/>
      <c r="I686" s="4"/>
      <c r="J686" s="18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4"/>
      <c r="X686" s="4"/>
      <c r="Y686" s="4"/>
      <c r="Z686" s="4"/>
    </row>
    <row r="687" spans="1:26" ht="14.25" customHeight="1" x14ac:dyDescent="0.3">
      <c r="A687" s="35"/>
      <c r="B687" s="4"/>
      <c r="C687" s="4"/>
      <c r="D687" s="4"/>
      <c r="E687" s="4"/>
      <c r="F687" s="4"/>
      <c r="G687" s="4"/>
      <c r="H687" s="4"/>
      <c r="I687" s="4"/>
      <c r="J687" s="18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4"/>
      <c r="X687" s="4"/>
      <c r="Y687" s="4"/>
      <c r="Z687" s="4"/>
    </row>
    <row r="688" spans="1:26" ht="14.25" customHeight="1" x14ac:dyDescent="0.3">
      <c r="A688" s="35"/>
      <c r="B688" s="4"/>
      <c r="C688" s="4"/>
      <c r="D688" s="4"/>
      <c r="E688" s="4"/>
      <c r="F688" s="4"/>
      <c r="G688" s="4"/>
      <c r="H688" s="4"/>
      <c r="I688" s="4"/>
      <c r="J688" s="18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4"/>
      <c r="X688" s="4"/>
      <c r="Y688" s="4"/>
      <c r="Z688" s="4"/>
    </row>
    <row r="689" spans="1:26" ht="14.25" customHeight="1" x14ac:dyDescent="0.3">
      <c r="A689" s="35"/>
      <c r="B689" s="4"/>
      <c r="C689" s="4"/>
      <c r="D689" s="4"/>
      <c r="E689" s="4"/>
      <c r="F689" s="4"/>
      <c r="G689" s="4"/>
      <c r="H689" s="4"/>
      <c r="I689" s="4"/>
      <c r="J689" s="18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4"/>
      <c r="X689" s="4"/>
      <c r="Y689" s="4"/>
      <c r="Z689" s="4"/>
    </row>
    <row r="690" spans="1:26" ht="14.25" customHeight="1" x14ac:dyDescent="0.3">
      <c r="A690" s="35"/>
      <c r="B690" s="4"/>
      <c r="C690" s="4"/>
      <c r="D690" s="4"/>
      <c r="E690" s="4"/>
      <c r="F690" s="4"/>
      <c r="G690" s="4"/>
      <c r="H690" s="4"/>
      <c r="I690" s="4"/>
      <c r="J690" s="18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4"/>
      <c r="X690" s="4"/>
      <c r="Y690" s="4"/>
      <c r="Z690" s="4"/>
    </row>
    <row r="691" spans="1:26" ht="14.25" customHeight="1" x14ac:dyDescent="0.3">
      <c r="A691" s="35"/>
      <c r="B691" s="4"/>
      <c r="C691" s="4"/>
      <c r="D691" s="4"/>
      <c r="E691" s="4"/>
      <c r="F691" s="4"/>
      <c r="G691" s="4"/>
      <c r="H691" s="4"/>
      <c r="I691" s="4"/>
      <c r="J691" s="18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4"/>
      <c r="X691" s="4"/>
      <c r="Y691" s="4"/>
      <c r="Z691" s="4"/>
    </row>
    <row r="692" spans="1:26" ht="14.25" customHeight="1" x14ac:dyDescent="0.3">
      <c r="A692" s="35"/>
      <c r="B692" s="4"/>
      <c r="C692" s="4"/>
      <c r="D692" s="4"/>
      <c r="E692" s="4"/>
      <c r="F692" s="4"/>
      <c r="G692" s="4"/>
      <c r="H692" s="4"/>
      <c r="I692" s="4"/>
      <c r="J692" s="18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4"/>
      <c r="X692" s="4"/>
      <c r="Y692" s="4"/>
      <c r="Z692" s="4"/>
    </row>
    <row r="693" spans="1:26" ht="14.25" customHeight="1" x14ac:dyDescent="0.3">
      <c r="A693" s="35"/>
      <c r="B693" s="4"/>
      <c r="C693" s="4"/>
      <c r="D693" s="4"/>
      <c r="E693" s="4"/>
      <c r="F693" s="4"/>
      <c r="G693" s="4"/>
      <c r="H693" s="4"/>
      <c r="I693" s="4"/>
      <c r="J693" s="18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4"/>
      <c r="X693" s="4"/>
      <c r="Y693" s="4"/>
      <c r="Z693" s="4"/>
    </row>
    <row r="694" spans="1:26" ht="14.25" customHeight="1" x14ac:dyDescent="0.3">
      <c r="A694" s="35"/>
      <c r="B694" s="4"/>
      <c r="C694" s="4"/>
      <c r="D694" s="4"/>
      <c r="E694" s="4"/>
      <c r="F694" s="4"/>
      <c r="G694" s="4"/>
      <c r="H694" s="4"/>
      <c r="I694" s="4"/>
      <c r="J694" s="18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4"/>
      <c r="X694" s="4"/>
      <c r="Y694" s="4"/>
      <c r="Z694" s="4"/>
    </row>
    <row r="695" spans="1:26" ht="14.25" customHeight="1" x14ac:dyDescent="0.3">
      <c r="A695" s="35"/>
      <c r="B695" s="4"/>
      <c r="C695" s="4"/>
      <c r="D695" s="4"/>
      <c r="E695" s="4"/>
      <c r="F695" s="4"/>
      <c r="G695" s="4"/>
      <c r="H695" s="4"/>
      <c r="I695" s="4"/>
      <c r="J695" s="18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4"/>
      <c r="X695" s="4"/>
      <c r="Y695" s="4"/>
      <c r="Z695" s="4"/>
    </row>
    <row r="696" spans="1:26" ht="14.25" customHeight="1" x14ac:dyDescent="0.3">
      <c r="A696" s="35"/>
      <c r="B696" s="4"/>
      <c r="C696" s="4"/>
      <c r="D696" s="4"/>
      <c r="E696" s="4"/>
      <c r="F696" s="4"/>
      <c r="G696" s="4"/>
      <c r="H696" s="4"/>
      <c r="I696" s="4"/>
      <c r="J696" s="18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4"/>
      <c r="X696" s="4"/>
      <c r="Y696" s="4"/>
      <c r="Z696" s="4"/>
    </row>
    <row r="697" spans="1:26" ht="14.25" customHeight="1" x14ac:dyDescent="0.3">
      <c r="A697" s="35"/>
      <c r="B697" s="4"/>
      <c r="C697" s="4"/>
      <c r="D697" s="4"/>
      <c r="E697" s="4"/>
      <c r="F697" s="4"/>
      <c r="G697" s="4"/>
      <c r="H697" s="4"/>
      <c r="I697" s="4"/>
      <c r="J697" s="18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4"/>
      <c r="X697" s="4"/>
      <c r="Y697" s="4"/>
      <c r="Z697" s="4"/>
    </row>
    <row r="698" spans="1:26" ht="14.25" customHeight="1" x14ac:dyDescent="0.3">
      <c r="A698" s="35"/>
      <c r="B698" s="4"/>
      <c r="C698" s="4"/>
      <c r="D698" s="4"/>
      <c r="E698" s="4"/>
      <c r="F698" s="4"/>
      <c r="G698" s="4"/>
      <c r="H698" s="4"/>
      <c r="I698" s="4"/>
      <c r="J698" s="18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4"/>
      <c r="X698" s="4"/>
      <c r="Y698" s="4"/>
      <c r="Z698" s="4"/>
    </row>
    <row r="699" spans="1:26" ht="14.25" customHeight="1" x14ac:dyDescent="0.3">
      <c r="A699" s="35"/>
      <c r="B699" s="4"/>
      <c r="C699" s="4"/>
      <c r="D699" s="4"/>
      <c r="E699" s="4"/>
      <c r="F699" s="4"/>
      <c r="G699" s="4"/>
      <c r="H699" s="4"/>
      <c r="I699" s="4"/>
      <c r="J699" s="18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4"/>
      <c r="X699" s="4"/>
      <c r="Y699" s="4"/>
      <c r="Z699" s="4"/>
    </row>
    <row r="700" spans="1:26" ht="14.25" customHeight="1" x14ac:dyDescent="0.3">
      <c r="A700" s="35"/>
      <c r="B700" s="4"/>
      <c r="C700" s="4"/>
      <c r="D700" s="4"/>
      <c r="E700" s="4"/>
      <c r="F700" s="4"/>
      <c r="G700" s="4"/>
      <c r="H700" s="4"/>
      <c r="I700" s="4"/>
      <c r="J700" s="18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4"/>
      <c r="X700" s="4"/>
      <c r="Y700" s="4"/>
      <c r="Z700" s="4"/>
    </row>
    <row r="701" spans="1:26" ht="14.25" customHeight="1" x14ac:dyDescent="0.3">
      <c r="A701" s="35"/>
      <c r="B701" s="4"/>
      <c r="C701" s="4"/>
      <c r="D701" s="4"/>
      <c r="E701" s="4"/>
      <c r="F701" s="4"/>
      <c r="G701" s="4"/>
      <c r="H701" s="4"/>
      <c r="I701" s="4"/>
      <c r="J701" s="18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4"/>
      <c r="X701" s="4"/>
      <c r="Y701" s="4"/>
      <c r="Z701" s="4"/>
    </row>
    <row r="702" spans="1:26" ht="14.25" customHeight="1" x14ac:dyDescent="0.3">
      <c r="A702" s="35"/>
      <c r="B702" s="4"/>
      <c r="C702" s="4"/>
      <c r="D702" s="4"/>
      <c r="E702" s="4"/>
      <c r="F702" s="4"/>
      <c r="G702" s="4"/>
      <c r="H702" s="4"/>
      <c r="I702" s="4"/>
      <c r="J702" s="18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4"/>
      <c r="X702" s="4"/>
      <c r="Y702" s="4"/>
      <c r="Z702" s="4"/>
    </row>
    <row r="703" spans="1:26" ht="14.25" customHeight="1" x14ac:dyDescent="0.3">
      <c r="A703" s="35"/>
      <c r="B703" s="4"/>
      <c r="C703" s="4"/>
      <c r="D703" s="4"/>
      <c r="E703" s="4"/>
      <c r="F703" s="4"/>
      <c r="G703" s="4"/>
      <c r="H703" s="4"/>
      <c r="I703" s="4"/>
      <c r="J703" s="18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4"/>
      <c r="X703" s="4"/>
      <c r="Y703" s="4"/>
      <c r="Z703" s="4"/>
    </row>
    <row r="704" spans="1:26" ht="14.25" customHeight="1" x14ac:dyDescent="0.3">
      <c r="A704" s="35"/>
      <c r="B704" s="4"/>
      <c r="C704" s="4"/>
      <c r="D704" s="4"/>
      <c r="E704" s="4"/>
      <c r="F704" s="4"/>
      <c r="G704" s="4"/>
      <c r="H704" s="4"/>
      <c r="I704" s="4"/>
      <c r="J704" s="18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4"/>
      <c r="X704" s="4"/>
      <c r="Y704" s="4"/>
      <c r="Z704" s="4"/>
    </row>
    <row r="705" spans="1:26" ht="14.25" customHeight="1" x14ac:dyDescent="0.3">
      <c r="A705" s="35"/>
      <c r="B705" s="4"/>
      <c r="C705" s="4"/>
      <c r="D705" s="4"/>
      <c r="E705" s="4"/>
      <c r="F705" s="4"/>
      <c r="G705" s="4"/>
      <c r="H705" s="4"/>
      <c r="I705" s="4"/>
      <c r="J705" s="18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4"/>
      <c r="X705" s="4"/>
      <c r="Y705" s="4"/>
      <c r="Z705" s="4"/>
    </row>
    <row r="706" spans="1:26" ht="14.25" customHeight="1" x14ac:dyDescent="0.3">
      <c r="A706" s="35"/>
      <c r="B706" s="4"/>
      <c r="C706" s="4"/>
      <c r="D706" s="4"/>
      <c r="E706" s="4"/>
      <c r="F706" s="4"/>
      <c r="G706" s="4"/>
      <c r="H706" s="4"/>
      <c r="I706" s="4"/>
      <c r="J706" s="18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4"/>
      <c r="X706" s="4"/>
      <c r="Y706" s="4"/>
      <c r="Z706" s="4"/>
    </row>
    <row r="707" spans="1:26" ht="14.25" customHeight="1" x14ac:dyDescent="0.3">
      <c r="A707" s="35"/>
      <c r="B707" s="4"/>
      <c r="C707" s="4"/>
      <c r="D707" s="4"/>
      <c r="E707" s="4"/>
      <c r="F707" s="4"/>
      <c r="G707" s="4"/>
      <c r="H707" s="4"/>
      <c r="I707" s="4"/>
      <c r="J707" s="18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4"/>
      <c r="X707" s="4"/>
      <c r="Y707" s="4"/>
      <c r="Z707" s="4"/>
    </row>
    <row r="708" spans="1:26" ht="14.25" customHeight="1" x14ac:dyDescent="0.3">
      <c r="A708" s="35"/>
      <c r="B708" s="4"/>
      <c r="C708" s="4"/>
      <c r="D708" s="4"/>
      <c r="E708" s="4"/>
      <c r="F708" s="4"/>
      <c r="G708" s="4"/>
      <c r="H708" s="4"/>
      <c r="I708" s="4"/>
      <c r="J708" s="18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4"/>
      <c r="X708" s="4"/>
      <c r="Y708" s="4"/>
      <c r="Z708" s="4"/>
    </row>
    <row r="709" spans="1:26" ht="14.25" customHeight="1" x14ac:dyDescent="0.3">
      <c r="A709" s="35"/>
      <c r="B709" s="4"/>
      <c r="C709" s="4"/>
      <c r="D709" s="4"/>
      <c r="E709" s="4"/>
      <c r="F709" s="4"/>
      <c r="G709" s="4"/>
      <c r="H709" s="4"/>
      <c r="I709" s="4"/>
      <c r="J709" s="18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4"/>
      <c r="X709" s="4"/>
      <c r="Y709" s="4"/>
      <c r="Z709" s="4"/>
    </row>
    <row r="710" spans="1:26" ht="14.25" customHeight="1" x14ac:dyDescent="0.3">
      <c r="A710" s="35"/>
      <c r="B710" s="4"/>
      <c r="C710" s="4"/>
      <c r="D710" s="4"/>
      <c r="E710" s="4"/>
      <c r="F710" s="4"/>
      <c r="G710" s="4"/>
      <c r="H710" s="4"/>
      <c r="I710" s="4"/>
      <c r="J710" s="18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4"/>
      <c r="X710" s="4"/>
      <c r="Y710" s="4"/>
      <c r="Z710" s="4"/>
    </row>
    <row r="711" spans="1:26" ht="14.25" customHeight="1" x14ac:dyDescent="0.3">
      <c r="A711" s="35"/>
      <c r="B711" s="4"/>
      <c r="C711" s="4"/>
      <c r="D711" s="4"/>
      <c r="E711" s="4"/>
      <c r="F711" s="4"/>
      <c r="G711" s="4"/>
      <c r="H711" s="4"/>
      <c r="I711" s="4"/>
      <c r="J711" s="18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4"/>
      <c r="X711" s="4"/>
      <c r="Y711" s="4"/>
      <c r="Z711" s="4"/>
    </row>
    <row r="712" spans="1:26" ht="14.25" customHeight="1" x14ac:dyDescent="0.3">
      <c r="A712" s="35"/>
      <c r="B712" s="4"/>
      <c r="C712" s="4"/>
      <c r="D712" s="4"/>
      <c r="E712" s="4"/>
      <c r="F712" s="4"/>
      <c r="G712" s="4"/>
      <c r="H712" s="4"/>
      <c r="I712" s="4"/>
      <c r="J712" s="18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4"/>
      <c r="X712" s="4"/>
      <c r="Y712" s="4"/>
      <c r="Z712" s="4"/>
    </row>
    <row r="713" spans="1:26" ht="14.25" customHeight="1" x14ac:dyDescent="0.3">
      <c r="A713" s="35"/>
      <c r="B713" s="4"/>
      <c r="C713" s="4"/>
      <c r="D713" s="4"/>
      <c r="E713" s="4"/>
      <c r="F713" s="4"/>
      <c r="G713" s="4"/>
      <c r="H713" s="4"/>
      <c r="I713" s="4"/>
      <c r="J713" s="18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4"/>
      <c r="X713" s="4"/>
      <c r="Y713" s="4"/>
      <c r="Z713" s="4"/>
    </row>
    <row r="714" spans="1:26" ht="14.25" customHeight="1" x14ac:dyDescent="0.3">
      <c r="A714" s="35"/>
      <c r="B714" s="4"/>
      <c r="C714" s="4"/>
      <c r="D714" s="4"/>
      <c r="E714" s="4"/>
      <c r="F714" s="4"/>
      <c r="G714" s="4"/>
      <c r="H714" s="4"/>
      <c r="I714" s="4"/>
      <c r="J714" s="18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4"/>
      <c r="X714" s="4"/>
      <c r="Y714" s="4"/>
      <c r="Z714" s="4"/>
    </row>
    <row r="715" spans="1:26" ht="14.25" customHeight="1" x14ac:dyDescent="0.3">
      <c r="A715" s="35"/>
      <c r="B715" s="4"/>
      <c r="C715" s="4"/>
      <c r="D715" s="4"/>
      <c r="E715" s="4"/>
      <c r="F715" s="4"/>
      <c r="G715" s="4"/>
      <c r="H715" s="4"/>
      <c r="I715" s="4"/>
      <c r="J715" s="18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4"/>
      <c r="X715" s="4"/>
      <c r="Y715" s="4"/>
      <c r="Z715" s="4"/>
    </row>
    <row r="716" spans="1:26" ht="14.25" customHeight="1" x14ac:dyDescent="0.3">
      <c r="A716" s="35"/>
      <c r="B716" s="4"/>
      <c r="C716" s="4"/>
      <c r="D716" s="4"/>
      <c r="E716" s="4"/>
      <c r="F716" s="4"/>
      <c r="G716" s="4"/>
      <c r="H716" s="4"/>
      <c r="I716" s="4"/>
      <c r="J716" s="18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4"/>
      <c r="X716" s="4"/>
      <c r="Y716" s="4"/>
      <c r="Z716" s="4"/>
    </row>
    <row r="717" spans="1:26" ht="14.25" customHeight="1" x14ac:dyDescent="0.3">
      <c r="A717" s="35"/>
      <c r="B717" s="4"/>
      <c r="C717" s="4"/>
      <c r="D717" s="4"/>
      <c r="E717" s="4"/>
      <c r="F717" s="4"/>
      <c r="G717" s="4"/>
      <c r="H717" s="4"/>
      <c r="I717" s="4"/>
      <c r="J717" s="18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4"/>
      <c r="X717" s="4"/>
      <c r="Y717" s="4"/>
      <c r="Z717" s="4"/>
    </row>
    <row r="718" spans="1:26" ht="14.25" customHeight="1" x14ac:dyDescent="0.3">
      <c r="A718" s="35"/>
      <c r="B718" s="4"/>
      <c r="C718" s="4"/>
      <c r="D718" s="4"/>
      <c r="E718" s="4"/>
      <c r="F718" s="4"/>
      <c r="G718" s="4"/>
      <c r="H718" s="4"/>
      <c r="I718" s="4"/>
      <c r="J718" s="18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4"/>
      <c r="X718" s="4"/>
      <c r="Y718" s="4"/>
      <c r="Z718" s="4"/>
    </row>
    <row r="719" spans="1:26" ht="14.25" customHeight="1" x14ac:dyDescent="0.3">
      <c r="A719" s="35"/>
      <c r="B719" s="4"/>
      <c r="C719" s="4"/>
      <c r="D719" s="4"/>
      <c r="E719" s="4"/>
      <c r="F719" s="4"/>
      <c r="G719" s="4"/>
      <c r="H719" s="4"/>
      <c r="I719" s="4"/>
      <c r="J719" s="18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4"/>
      <c r="X719" s="4"/>
      <c r="Y719" s="4"/>
      <c r="Z719" s="4"/>
    </row>
    <row r="720" spans="1:26" ht="14.25" customHeight="1" x14ac:dyDescent="0.3">
      <c r="A720" s="35"/>
      <c r="B720" s="4"/>
      <c r="C720" s="4"/>
      <c r="D720" s="4"/>
      <c r="E720" s="4"/>
      <c r="F720" s="4"/>
      <c r="G720" s="4"/>
      <c r="H720" s="4"/>
      <c r="I720" s="4"/>
      <c r="J720" s="18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4"/>
      <c r="X720" s="4"/>
      <c r="Y720" s="4"/>
      <c r="Z720" s="4"/>
    </row>
    <row r="721" spans="1:26" ht="14.25" customHeight="1" x14ac:dyDescent="0.3">
      <c r="A721" s="35"/>
      <c r="B721" s="4"/>
      <c r="C721" s="4"/>
      <c r="D721" s="4"/>
      <c r="E721" s="4"/>
      <c r="F721" s="4"/>
      <c r="G721" s="4"/>
      <c r="H721" s="4"/>
      <c r="I721" s="4"/>
      <c r="J721" s="18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4"/>
      <c r="X721" s="4"/>
      <c r="Y721" s="4"/>
      <c r="Z721" s="4"/>
    </row>
    <row r="722" spans="1:26" ht="14.25" customHeight="1" x14ac:dyDescent="0.3">
      <c r="A722" s="35"/>
      <c r="B722" s="4"/>
      <c r="C722" s="4"/>
      <c r="D722" s="4"/>
      <c r="E722" s="4"/>
      <c r="F722" s="4"/>
      <c r="G722" s="4"/>
      <c r="H722" s="4"/>
      <c r="I722" s="4"/>
      <c r="J722" s="18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4"/>
      <c r="X722" s="4"/>
      <c r="Y722" s="4"/>
      <c r="Z722" s="4"/>
    </row>
    <row r="723" spans="1:26" ht="14.25" customHeight="1" x14ac:dyDescent="0.3">
      <c r="A723" s="35"/>
      <c r="B723" s="4"/>
      <c r="C723" s="4"/>
      <c r="D723" s="4"/>
      <c r="E723" s="4"/>
      <c r="F723" s="4"/>
      <c r="G723" s="4"/>
      <c r="H723" s="4"/>
      <c r="I723" s="4"/>
      <c r="J723" s="18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4"/>
      <c r="X723" s="4"/>
      <c r="Y723" s="4"/>
      <c r="Z723" s="4"/>
    </row>
    <row r="724" spans="1:26" ht="14.25" customHeight="1" x14ac:dyDescent="0.3">
      <c r="A724" s="35"/>
      <c r="B724" s="4"/>
      <c r="C724" s="4"/>
      <c r="D724" s="4"/>
      <c r="E724" s="4"/>
      <c r="F724" s="4"/>
      <c r="G724" s="4"/>
      <c r="H724" s="4"/>
      <c r="I724" s="4"/>
      <c r="J724" s="18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4"/>
      <c r="X724" s="4"/>
      <c r="Y724" s="4"/>
      <c r="Z724" s="4"/>
    </row>
    <row r="725" spans="1:26" ht="14.25" customHeight="1" x14ac:dyDescent="0.3">
      <c r="A725" s="35"/>
      <c r="B725" s="4"/>
      <c r="C725" s="4"/>
      <c r="D725" s="4"/>
      <c r="E725" s="4"/>
      <c r="F725" s="4"/>
      <c r="G725" s="4"/>
      <c r="H725" s="4"/>
      <c r="I725" s="4"/>
      <c r="J725" s="18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4"/>
      <c r="X725" s="4"/>
      <c r="Y725" s="4"/>
      <c r="Z725" s="4"/>
    </row>
    <row r="726" spans="1:26" ht="14.25" customHeight="1" x14ac:dyDescent="0.3">
      <c r="A726" s="35"/>
      <c r="B726" s="4"/>
      <c r="C726" s="4"/>
      <c r="D726" s="4"/>
      <c r="E726" s="4"/>
      <c r="F726" s="4"/>
      <c r="G726" s="4"/>
      <c r="H726" s="4"/>
      <c r="I726" s="4"/>
      <c r="J726" s="18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4"/>
      <c r="X726" s="4"/>
      <c r="Y726" s="4"/>
      <c r="Z726" s="4"/>
    </row>
    <row r="727" spans="1:26" ht="14.25" customHeight="1" x14ac:dyDescent="0.3">
      <c r="A727" s="35"/>
      <c r="B727" s="4"/>
      <c r="C727" s="4"/>
      <c r="D727" s="4"/>
      <c r="E727" s="4"/>
      <c r="F727" s="4"/>
      <c r="G727" s="4"/>
      <c r="H727" s="4"/>
      <c r="I727" s="4"/>
      <c r="J727" s="18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4"/>
      <c r="X727" s="4"/>
      <c r="Y727" s="4"/>
      <c r="Z727" s="4"/>
    </row>
    <row r="728" spans="1:26" ht="14.25" customHeight="1" x14ac:dyDescent="0.3">
      <c r="A728" s="35"/>
      <c r="B728" s="4"/>
      <c r="C728" s="4"/>
      <c r="D728" s="4"/>
      <c r="E728" s="4"/>
      <c r="F728" s="4"/>
      <c r="G728" s="4"/>
      <c r="H728" s="4"/>
      <c r="I728" s="4"/>
      <c r="J728" s="18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4"/>
      <c r="X728" s="4"/>
      <c r="Y728" s="4"/>
      <c r="Z728" s="4"/>
    </row>
    <row r="729" spans="1:26" ht="14.25" customHeight="1" x14ac:dyDescent="0.3">
      <c r="A729" s="35"/>
      <c r="B729" s="4"/>
      <c r="C729" s="4"/>
      <c r="D729" s="4"/>
      <c r="E729" s="4"/>
      <c r="F729" s="4"/>
      <c r="G729" s="4"/>
      <c r="H729" s="4"/>
      <c r="I729" s="4"/>
      <c r="J729" s="18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4"/>
      <c r="X729" s="4"/>
      <c r="Y729" s="4"/>
      <c r="Z729" s="4"/>
    </row>
    <row r="730" spans="1:26" ht="14.25" customHeight="1" x14ac:dyDescent="0.3">
      <c r="A730" s="35"/>
      <c r="B730" s="4"/>
      <c r="C730" s="4"/>
      <c r="D730" s="4"/>
      <c r="E730" s="4"/>
      <c r="F730" s="4"/>
      <c r="G730" s="4"/>
      <c r="H730" s="4"/>
      <c r="I730" s="4"/>
      <c r="J730" s="18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4"/>
      <c r="X730" s="4"/>
      <c r="Y730" s="4"/>
      <c r="Z730" s="4"/>
    </row>
    <row r="731" spans="1:26" ht="14.25" customHeight="1" x14ac:dyDescent="0.3">
      <c r="A731" s="35"/>
      <c r="B731" s="4"/>
      <c r="C731" s="4"/>
      <c r="D731" s="4"/>
      <c r="E731" s="4"/>
      <c r="F731" s="4"/>
      <c r="G731" s="4"/>
      <c r="H731" s="4"/>
      <c r="I731" s="4"/>
      <c r="J731" s="18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4"/>
      <c r="X731" s="4"/>
      <c r="Y731" s="4"/>
      <c r="Z731" s="4"/>
    </row>
    <row r="732" spans="1:26" ht="14.25" customHeight="1" x14ac:dyDescent="0.3">
      <c r="A732" s="35"/>
      <c r="B732" s="4"/>
      <c r="C732" s="4"/>
      <c r="D732" s="4"/>
      <c r="E732" s="4"/>
      <c r="F732" s="4"/>
      <c r="G732" s="4"/>
      <c r="H732" s="4"/>
      <c r="I732" s="4"/>
      <c r="J732" s="18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4"/>
      <c r="X732" s="4"/>
      <c r="Y732" s="4"/>
      <c r="Z732" s="4"/>
    </row>
    <row r="733" spans="1:26" ht="14.25" customHeight="1" x14ac:dyDescent="0.3">
      <c r="A733" s="35"/>
      <c r="B733" s="4"/>
      <c r="C733" s="4"/>
      <c r="D733" s="4"/>
      <c r="E733" s="4"/>
      <c r="F733" s="4"/>
      <c r="G733" s="4"/>
      <c r="H733" s="4"/>
      <c r="I733" s="4"/>
      <c r="J733" s="18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4"/>
      <c r="X733" s="4"/>
      <c r="Y733" s="4"/>
      <c r="Z733" s="4"/>
    </row>
    <row r="734" spans="1:26" ht="14.25" customHeight="1" x14ac:dyDescent="0.3">
      <c r="A734" s="35"/>
      <c r="B734" s="4"/>
      <c r="C734" s="4"/>
      <c r="D734" s="4"/>
      <c r="E734" s="4"/>
      <c r="F734" s="4"/>
      <c r="G734" s="4"/>
      <c r="H734" s="4"/>
      <c r="I734" s="4"/>
      <c r="J734" s="18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4"/>
      <c r="X734" s="4"/>
      <c r="Y734" s="4"/>
      <c r="Z734" s="4"/>
    </row>
    <row r="735" spans="1:26" ht="14.25" customHeight="1" x14ac:dyDescent="0.3">
      <c r="A735" s="35"/>
      <c r="B735" s="4"/>
      <c r="C735" s="4"/>
      <c r="D735" s="4"/>
      <c r="E735" s="4"/>
      <c r="F735" s="4"/>
      <c r="G735" s="4"/>
      <c r="H735" s="4"/>
      <c r="I735" s="4"/>
      <c r="J735" s="18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4"/>
      <c r="X735" s="4"/>
      <c r="Y735" s="4"/>
      <c r="Z735" s="4"/>
    </row>
    <row r="736" spans="1:26" ht="14.25" customHeight="1" x14ac:dyDescent="0.3">
      <c r="A736" s="35"/>
      <c r="B736" s="4"/>
      <c r="C736" s="4"/>
      <c r="D736" s="4"/>
      <c r="E736" s="4"/>
      <c r="F736" s="4"/>
      <c r="G736" s="4"/>
      <c r="H736" s="4"/>
      <c r="I736" s="4"/>
      <c r="J736" s="18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4"/>
      <c r="X736" s="4"/>
      <c r="Y736" s="4"/>
      <c r="Z736" s="4"/>
    </row>
    <row r="737" spans="1:26" ht="14.25" customHeight="1" x14ac:dyDescent="0.3">
      <c r="A737" s="35"/>
      <c r="B737" s="4"/>
      <c r="C737" s="4"/>
      <c r="D737" s="4"/>
      <c r="E737" s="4"/>
      <c r="F737" s="4"/>
      <c r="G737" s="4"/>
      <c r="H737" s="4"/>
      <c r="I737" s="4"/>
      <c r="J737" s="18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4"/>
      <c r="X737" s="4"/>
      <c r="Y737" s="4"/>
      <c r="Z737" s="4"/>
    </row>
    <row r="738" spans="1:26" ht="14.25" customHeight="1" x14ac:dyDescent="0.3">
      <c r="A738" s="35"/>
      <c r="B738" s="4"/>
      <c r="C738" s="4"/>
      <c r="D738" s="4"/>
      <c r="E738" s="4"/>
      <c r="F738" s="4"/>
      <c r="G738" s="4"/>
      <c r="H738" s="4"/>
      <c r="I738" s="4"/>
      <c r="J738" s="18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4"/>
      <c r="X738" s="4"/>
      <c r="Y738" s="4"/>
      <c r="Z738" s="4"/>
    </row>
    <row r="739" spans="1:26" ht="14.25" customHeight="1" x14ac:dyDescent="0.3">
      <c r="A739" s="35"/>
      <c r="B739" s="4"/>
      <c r="C739" s="4"/>
      <c r="D739" s="4"/>
      <c r="E739" s="4"/>
      <c r="F739" s="4"/>
      <c r="G739" s="4"/>
      <c r="H739" s="4"/>
      <c r="I739" s="4"/>
      <c r="J739" s="18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4"/>
      <c r="X739" s="4"/>
      <c r="Y739" s="4"/>
      <c r="Z739" s="4"/>
    </row>
    <row r="740" spans="1:26" ht="14.25" customHeight="1" x14ac:dyDescent="0.3">
      <c r="A740" s="35"/>
      <c r="B740" s="4"/>
      <c r="C740" s="4"/>
      <c r="D740" s="4"/>
      <c r="E740" s="4"/>
      <c r="F740" s="4"/>
      <c r="G740" s="4"/>
      <c r="H740" s="4"/>
      <c r="I740" s="4"/>
      <c r="J740" s="18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4"/>
      <c r="X740" s="4"/>
      <c r="Y740" s="4"/>
      <c r="Z740" s="4"/>
    </row>
    <row r="741" spans="1:26" ht="14.25" customHeight="1" x14ac:dyDescent="0.3">
      <c r="A741" s="35"/>
      <c r="B741" s="4"/>
      <c r="C741" s="4"/>
      <c r="D741" s="4"/>
      <c r="E741" s="4"/>
      <c r="F741" s="4"/>
      <c r="G741" s="4"/>
      <c r="H741" s="4"/>
      <c r="I741" s="4"/>
      <c r="J741" s="18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4"/>
      <c r="X741" s="4"/>
      <c r="Y741" s="4"/>
      <c r="Z741" s="4"/>
    </row>
    <row r="742" spans="1:26" ht="14.25" customHeight="1" x14ac:dyDescent="0.3">
      <c r="A742" s="35"/>
      <c r="B742" s="4"/>
      <c r="C742" s="4"/>
      <c r="D742" s="4"/>
      <c r="E742" s="4"/>
      <c r="F742" s="4"/>
      <c r="G742" s="4"/>
      <c r="H742" s="4"/>
      <c r="I742" s="4"/>
      <c r="J742" s="18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4"/>
      <c r="X742" s="4"/>
      <c r="Y742" s="4"/>
      <c r="Z742" s="4"/>
    </row>
    <row r="743" spans="1:26" ht="14.25" customHeight="1" x14ac:dyDescent="0.3">
      <c r="A743" s="35"/>
      <c r="B743" s="4"/>
      <c r="C743" s="4"/>
      <c r="D743" s="4"/>
      <c r="E743" s="4"/>
      <c r="F743" s="4"/>
      <c r="G743" s="4"/>
      <c r="H743" s="4"/>
      <c r="I743" s="4"/>
      <c r="J743" s="18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4"/>
      <c r="X743" s="4"/>
      <c r="Y743" s="4"/>
      <c r="Z743" s="4"/>
    </row>
    <row r="744" spans="1:26" ht="14.25" customHeight="1" x14ac:dyDescent="0.3">
      <c r="A744" s="35"/>
      <c r="B744" s="4"/>
      <c r="C744" s="4"/>
      <c r="D744" s="4"/>
      <c r="E744" s="4"/>
      <c r="F744" s="4"/>
      <c r="G744" s="4"/>
      <c r="H744" s="4"/>
      <c r="I744" s="4"/>
      <c r="J744" s="18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4"/>
      <c r="X744" s="4"/>
      <c r="Y744" s="4"/>
      <c r="Z744" s="4"/>
    </row>
    <row r="745" spans="1:26" ht="14.25" customHeight="1" x14ac:dyDescent="0.3">
      <c r="A745" s="35"/>
      <c r="B745" s="4"/>
      <c r="C745" s="4"/>
      <c r="D745" s="4"/>
      <c r="E745" s="4"/>
      <c r="F745" s="4"/>
      <c r="G745" s="4"/>
      <c r="H745" s="4"/>
      <c r="I745" s="4"/>
      <c r="J745" s="18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4"/>
      <c r="X745" s="4"/>
      <c r="Y745" s="4"/>
      <c r="Z745" s="4"/>
    </row>
    <row r="746" spans="1:26" ht="14.25" customHeight="1" x14ac:dyDescent="0.3">
      <c r="A746" s="35"/>
      <c r="B746" s="4"/>
      <c r="C746" s="4"/>
      <c r="D746" s="4"/>
      <c r="E746" s="4"/>
      <c r="F746" s="4"/>
      <c r="G746" s="4"/>
      <c r="H746" s="4"/>
      <c r="I746" s="4"/>
      <c r="J746" s="18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4"/>
      <c r="X746" s="4"/>
      <c r="Y746" s="4"/>
      <c r="Z746" s="4"/>
    </row>
    <row r="747" spans="1:26" ht="14.25" customHeight="1" x14ac:dyDescent="0.3">
      <c r="A747" s="35"/>
      <c r="B747" s="4"/>
      <c r="C747" s="4"/>
      <c r="D747" s="4"/>
      <c r="E747" s="4"/>
      <c r="F747" s="4"/>
      <c r="G747" s="4"/>
      <c r="H747" s="4"/>
      <c r="I747" s="4"/>
      <c r="J747" s="18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4"/>
      <c r="X747" s="4"/>
      <c r="Y747" s="4"/>
      <c r="Z747" s="4"/>
    </row>
    <row r="748" spans="1:26" ht="14.25" customHeight="1" x14ac:dyDescent="0.3">
      <c r="A748" s="35"/>
      <c r="B748" s="4"/>
      <c r="C748" s="4"/>
      <c r="D748" s="4"/>
      <c r="E748" s="4"/>
      <c r="F748" s="4"/>
      <c r="G748" s="4"/>
      <c r="H748" s="4"/>
      <c r="I748" s="4"/>
      <c r="J748" s="18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4"/>
      <c r="X748" s="4"/>
      <c r="Y748" s="4"/>
      <c r="Z748" s="4"/>
    </row>
    <row r="749" spans="1:26" ht="14.25" customHeight="1" x14ac:dyDescent="0.3">
      <c r="A749" s="35"/>
      <c r="B749" s="4"/>
      <c r="C749" s="4"/>
      <c r="D749" s="4"/>
      <c r="E749" s="4"/>
      <c r="F749" s="4"/>
      <c r="G749" s="4"/>
      <c r="H749" s="4"/>
      <c r="I749" s="4"/>
      <c r="J749" s="18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4"/>
      <c r="X749" s="4"/>
      <c r="Y749" s="4"/>
      <c r="Z749" s="4"/>
    </row>
    <row r="750" spans="1:26" ht="14.25" customHeight="1" x14ac:dyDescent="0.3">
      <c r="A750" s="35"/>
      <c r="B750" s="4"/>
      <c r="C750" s="4"/>
      <c r="D750" s="4"/>
      <c r="E750" s="4"/>
      <c r="F750" s="4"/>
      <c r="G750" s="4"/>
      <c r="H750" s="4"/>
      <c r="I750" s="4"/>
      <c r="J750" s="18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4"/>
      <c r="X750" s="4"/>
      <c r="Y750" s="4"/>
      <c r="Z750" s="4"/>
    </row>
    <row r="751" spans="1:26" ht="14.25" customHeight="1" x14ac:dyDescent="0.3">
      <c r="A751" s="35"/>
      <c r="B751" s="4"/>
      <c r="C751" s="4"/>
      <c r="D751" s="4"/>
      <c r="E751" s="4"/>
      <c r="F751" s="4"/>
      <c r="G751" s="4"/>
      <c r="H751" s="4"/>
      <c r="I751" s="4"/>
      <c r="J751" s="18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4"/>
      <c r="X751" s="4"/>
      <c r="Y751" s="4"/>
      <c r="Z751" s="4"/>
    </row>
    <row r="752" spans="1:26" ht="14.25" customHeight="1" x14ac:dyDescent="0.3">
      <c r="A752" s="35"/>
      <c r="B752" s="4"/>
      <c r="C752" s="4"/>
      <c r="D752" s="4"/>
      <c r="E752" s="4"/>
      <c r="F752" s="4"/>
      <c r="G752" s="4"/>
      <c r="H752" s="4"/>
      <c r="I752" s="4"/>
      <c r="J752" s="18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4"/>
      <c r="X752" s="4"/>
      <c r="Y752" s="4"/>
      <c r="Z752" s="4"/>
    </row>
    <row r="753" spans="1:26" ht="14.25" customHeight="1" x14ac:dyDescent="0.3">
      <c r="A753" s="35"/>
      <c r="B753" s="4"/>
      <c r="C753" s="4"/>
      <c r="D753" s="4"/>
      <c r="E753" s="4"/>
      <c r="F753" s="4"/>
      <c r="G753" s="4"/>
      <c r="H753" s="4"/>
      <c r="I753" s="4"/>
      <c r="J753" s="18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4"/>
      <c r="X753" s="4"/>
      <c r="Y753" s="4"/>
      <c r="Z753" s="4"/>
    </row>
    <row r="754" spans="1:26" ht="14.25" customHeight="1" x14ac:dyDescent="0.3">
      <c r="A754" s="35"/>
      <c r="B754" s="4"/>
      <c r="C754" s="4"/>
      <c r="D754" s="4"/>
      <c r="E754" s="4"/>
      <c r="F754" s="4"/>
      <c r="G754" s="4"/>
      <c r="H754" s="4"/>
      <c r="I754" s="4"/>
      <c r="J754" s="18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4"/>
      <c r="X754" s="4"/>
      <c r="Y754" s="4"/>
      <c r="Z754" s="4"/>
    </row>
    <row r="755" spans="1:26" ht="14.25" customHeight="1" x14ac:dyDescent="0.3">
      <c r="A755" s="35"/>
      <c r="B755" s="4"/>
      <c r="C755" s="4"/>
      <c r="D755" s="4"/>
      <c r="E755" s="4"/>
      <c r="F755" s="4"/>
      <c r="G755" s="4"/>
      <c r="H755" s="4"/>
      <c r="I755" s="4"/>
      <c r="J755" s="18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4"/>
      <c r="X755" s="4"/>
      <c r="Y755" s="4"/>
      <c r="Z755" s="4"/>
    </row>
    <row r="756" spans="1:26" ht="14.25" customHeight="1" x14ac:dyDescent="0.3">
      <c r="A756" s="35"/>
      <c r="B756" s="4"/>
      <c r="C756" s="4"/>
      <c r="D756" s="4"/>
      <c r="E756" s="4"/>
      <c r="F756" s="4"/>
      <c r="G756" s="4"/>
      <c r="H756" s="4"/>
      <c r="I756" s="4"/>
      <c r="J756" s="18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4"/>
      <c r="X756" s="4"/>
      <c r="Y756" s="4"/>
      <c r="Z756" s="4"/>
    </row>
    <row r="757" spans="1:26" ht="14.25" customHeight="1" x14ac:dyDescent="0.3">
      <c r="A757" s="35"/>
      <c r="B757" s="4"/>
      <c r="C757" s="4"/>
      <c r="D757" s="4"/>
      <c r="E757" s="4"/>
      <c r="F757" s="4"/>
      <c r="G757" s="4"/>
      <c r="H757" s="4"/>
      <c r="I757" s="4"/>
      <c r="J757" s="18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4"/>
      <c r="X757" s="4"/>
      <c r="Y757" s="4"/>
      <c r="Z757" s="4"/>
    </row>
    <row r="758" spans="1:26" ht="14.25" customHeight="1" x14ac:dyDescent="0.3">
      <c r="A758" s="35"/>
      <c r="B758" s="4"/>
      <c r="C758" s="4"/>
      <c r="D758" s="4"/>
      <c r="E758" s="4"/>
      <c r="F758" s="4"/>
      <c r="G758" s="4"/>
      <c r="H758" s="4"/>
      <c r="I758" s="4"/>
      <c r="J758" s="18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4"/>
      <c r="X758" s="4"/>
      <c r="Y758" s="4"/>
      <c r="Z758" s="4"/>
    </row>
    <row r="759" spans="1:26" ht="14.25" customHeight="1" x14ac:dyDescent="0.3">
      <c r="A759" s="35"/>
      <c r="B759" s="4"/>
      <c r="C759" s="4"/>
      <c r="D759" s="4"/>
      <c r="E759" s="4"/>
      <c r="F759" s="4"/>
      <c r="G759" s="4"/>
      <c r="H759" s="4"/>
      <c r="I759" s="4"/>
      <c r="J759" s="18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4"/>
      <c r="X759" s="4"/>
      <c r="Y759" s="4"/>
      <c r="Z759" s="4"/>
    </row>
    <row r="760" spans="1:26" ht="14.25" customHeight="1" x14ac:dyDescent="0.3">
      <c r="A760" s="35"/>
      <c r="B760" s="4"/>
      <c r="C760" s="4"/>
      <c r="D760" s="4"/>
      <c r="E760" s="4"/>
      <c r="F760" s="4"/>
      <c r="G760" s="4"/>
      <c r="H760" s="4"/>
      <c r="I760" s="4"/>
      <c r="J760" s="18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4"/>
      <c r="X760" s="4"/>
      <c r="Y760" s="4"/>
      <c r="Z760" s="4"/>
    </row>
    <row r="761" spans="1:26" ht="14.25" customHeight="1" x14ac:dyDescent="0.3">
      <c r="A761" s="35"/>
      <c r="B761" s="4"/>
      <c r="C761" s="4"/>
      <c r="D761" s="4"/>
      <c r="E761" s="4"/>
      <c r="F761" s="4"/>
      <c r="G761" s="4"/>
      <c r="H761" s="4"/>
      <c r="I761" s="4"/>
      <c r="J761" s="18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4"/>
      <c r="X761" s="4"/>
      <c r="Y761" s="4"/>
      <c r="Z761" s="4"/>
    </row>
    <row r="762" spans="1:26" ht="14.25" customHeight="1" x14ac:dyDescent="0.3">
      <c r="A762" s="35"/>
      <c r="B762" s="4"/>
      <c r="C762" s="4"/>
      <c r="D762" s="4"/>
      <c r="E762" s="4"/>
      <c r="F762" s="4"/>
      <c r="G762" s="4"/>
      <c r="H762" s="4"/>
      <c r="I762" s="4"/>
      <c r="J762" s="18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4"/>
      <c r="X762" s="4"/>
      <c r="Y762" s="4"/>
      <c r="Z762" s="4"/>
    </row>
    <row r="763" spans="1:26" ht="14.25" customHeight="1" x14ac:dyDescent="0.3">
      <c r="A763" s="35"/>
      <c r="B763" s="4"/>
      <c r="C763" s="4"/>
      <c r="D763" s="4"/>
      <c r="E763" s="4"/>
      <c r="F763" s="4"/>
      <c r="G763" s="4"/>
      <c r="H763" s="4"/>
      <c r="I763" s="4"/>
      <c r="J763" s="18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4"/>
      <c r="X763" s="4"/>
      <c r="Y763" s="4"/>
      <c r="Z763" s="4"/>
    </row>
    <row r="764" spans="1:26" ht="14.25" customHeight="1" x14ac:dyDescent="0.3">
      <c r="A764" s="35"/>
      <c r="B764" s="4"/>
      <c r="C764" s="4"/>
      <c r="D764" s="4"/>
      <c r="E764" s="4"/>
      <c r="F764" s="4"/>
      <c r="G764" s="4"/>
      <c r="H764" s="4"/>
      <c r="I764" s="4"/>
      <c r="J764" s="18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4"/>
      <c r="X764" s="4"/>
      <c r="Y764" s="4"/>
      <c r="Z764" s="4"/>
    </row>
    <row r="765" spans="1:26" ht="14.25" customHeight="1" x14ac:dyDescent="0.3">
      <c r="A765" s="35"/>
      <c r="B765" s="4"/>
      <c r="C765" s="4"/>
      <c r="D765" s="4"/>
      <c r="E765" s="4"/>
      <c r="F765" s="4"/>
      <c r="G765" s="4"/>
      <c r="H765" s="4"/>
      <c r="I765" s="4"/>
      <c r="J765" s="18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4"/>
      <c r="X765" s="4"/>
      <c r="Y765" s="4"/>
      <c r="Z765" s="4"/>
    </row>
    <row r="766" spans="1:26" ht="14.25" customHeight="1" x14ac:dyDescent="0.3">
      <c r="A766" s="35"/>
      <c r="B766" s="4"/>
      <c r="C766" s="4"/>
      <c r="D766" s="4"/>
      <c r="E766" s="4"/>
      <c r="F766" s="4"/>
      <c r="G766" s="4"/>
      <c r="H766" s="4"/>
      <c r="I766" s="4"/>
      <c r="J766" s="18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4"/>
      <c r="X766" s="4"/>
      <c r="Y766" s="4"/>
      <c r="Z766" s="4"/>
    </row>
    <row r="767" spans="1:26" ht="14.25" customHeight="1" x14ac:dyDescent="0.3">
      <c r="A767" s="35"/>
      <c r="B767" s="4"/>
      <c r="C767" s="4"/>
      <c r="D767" s="4"/>
      <c r="E767" s="4"/>
      <c r="F767" s="4"/>
      <c r="G767" s="4"/>
      <c r="H767" s="4"/>
      <c r="I767" s="4"/>
      <c r="J767" s="18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4"/>
      <c r="X767" s="4"/>
      <c r="Y767" s="4"/>
      <c r="Z767" s="4"/>
    </row>
    <row r="768" spans="1:26" ht="14.25" customHeight="1" x14ac:dyDescent="0.3">
      <c r="A768" s="35"/>
      <c r="B768" s="4"/>
      <c r="C768" s="4"/>
      <c r="D768" s="4"/>
      <c r="E768" s="4"/>
      <c r="F768" s="4"/>
      <c r="G768" s="4"/>
      <c r="H768" s="4"/>
      <c r="I768" s="4"/>
      <c r="J768" s="18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4"/>
      <c r="X768" s="4"/>
      <c r="Y768" s="4"/>
      <c r="Z768" s="4"/>
    </row>
    <row r="769" spans="1:26" ht="14.25" customHeight="1" x14ac:dyDescent="0.3">
      <c r="A769" s="35"/>
      <c r="B769" s="4"/>
      <c r="C769" s="4"/>
      <c r="D769" s="4"/>
      <c r="E769" s="4"/>
      <c r="F769" s="4"/>
      <c r="G769" s="4"/>
      <c r="H769" s="4"/>
      <c r="I769" s="4"/>
      <c r="J769" s="18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4"/>
      <c r="X769" s="4"/>
      <c r="Y769" s="4"/>
      <c r="Z769" s="4"/>
    </row>
    <row r="770" spans="1:26" ht="14.25" customHeight="1" x14ac:dyDescent="0.3">
      <c r="A770" s="35"/>
      <c r="B770" s="4"/>
      <c r="C770" s="4"/>
      <c r="D770" s="4"/>
      <c r="E770" s="4"/>
      <c r="F770" s="4"/>
      <c r="G770" s="4"/>
      <c r="H770" s="4"/>
      <c r="I770" s="4"/>
      <c r="J770" s="18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4"/>
      <c r="X770" s="4"/>
      <c r="Y770" s="4"/>
      <c r="Z770" s="4"/>
    </row>
    <row r="771" spans="1:26" ht="14.25" customHeight="1" x14ac:dyDescent="0.3">
      <c r="A771" s="35"/>
      <c r="B771" s="4"/>
      <c r="C771" s="4"/>
      <c r="D771" s="4"/>
      <c r="E771" s="4"/>
      <c r="F771" s="4"/>
      <c r="G771" s="4"/>
      <c r="H771" s="4"/>
      <c r="I771" s="4"/>
      <c r="J771" s="18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4"/>
      <c r="X771" s="4"/>
      <c r="Y771" s="4"/>
      <c r="Z771" s="4"/>
    </row>
    <row r="772" spans="1:26" ht="14.25" customHeight="1" x14ac:dyDescent="0.3">
      <c r="A772" s="35"/>
      <c r="B772" s="4"/>
      <c r="C772" s="4"/>
      <c r="D772" s="4"/>
      <c r="E772" s="4"/>
      <c r="F772" s="4"/>
      <c r="G772" s="4"/>
      <c r="H772" s="4"/>
      <c r="I772" s="4"/>
      <c r="J772" s="18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4"/>
      <c r="X772" s="4"/>
      <c r="Y772" s="4"/>
      <c r="Z772" s="4"/>
    </row>
    <row r="773" spans="1:26" ht="14.25" customHeight="1" x14ac:dyDescent="0.3">
      <c r="A773" s="35"/>
      <c r="B773" s="4"/>
      <c r="C773" s="4"/>
      <c r="D773" s="4"/>
      <c r="E773" s="4"/>
      <c r="F773" s="4"/>
      <c r="G773" s="4"/>
      <c r="H773" s="4"/>
      <c r="I773" s="4"/>
      <c r="J773" s="18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4"/>
      <c r="X773" s="4"/>
      <c r="Y773" s="4"/>
      <c r="Z773" s="4"/>
    </row>
    <row r="774" spans="1:26" ht="14.25" customHeight="1" x14ac:dyDescent="0.3">
      <c r="A774" s="35"/>
      <c r="B774" s="4"/>
      <c r="C774" s="4"/>
      <c r="D774" s="4"/>
      <c r="E774" s="4"/>
      <c r="F774" s="4"/>
      <c r="G774" s="4"/>
      <c r="H774" s="4"/>
      <c r="I774" s="4"/>
      <c r="J774" s="18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4"/>
      <c r="X774" s="4"/>
      <c r="Y774" s="4"/>
      <c r="Z774" s="4"/>
    </row>
    <row r="775" spans="1:26" ht="14.25" customHeight="1" x14ac:dyDescent="0.3">
      <c r="A775" s="35"/>
      <c r="B775" s="4"/>
      <c r="C775" s="4"/>
      <c r="D775" s="4"/>
      <c r="E775" s="4"/>
      <c r="F775" s="4"/>
      <c r="G775" s="4"/>
      <c r="H775" s="4"/>
      <c r="I775" s="4"/>
      <c r="J775" s="18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4"/>
      <c r="X775" s="4"/>
      <c r="Y775" s="4"/>
      <c r="Z775" s="4"/>
    </row>
    <row r="776" spans="1:26" ht="14.25" customHeight="1" x14ac:dyDescent="0.3">
      <c r="A776" s="35"/>
      <c r="B776" s="4"/>
      <c r="C776" s="4"/>
      <c r="D776" s="4"/>
      <c r="E776" s="4"/>
      <c r="F776" s="4"/>
      <c r="G776" s="4"/>
      <c r="H776" s="4"/>
      <c r="I776" s="4"/>
      <c r="J776" s="18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4"/>
      <c r="X776" s="4"/>
      <c r="Y776" s="4"/>
      <c r="Z776" s="4"/>
    </row>
    <row r="777" spans="1:26" ht="14.25" customHeight="1" x14ac:dyDescent="0.3">
      <c r="A777" s="35"/>
      <c r="B777" s="4"/>
      <c r="C777" s="4"/>
      <c r="D777" s="4"/>
      <c r="E777" s="4"/>
      <c r="F777" s="4"/>
      <c r="G777" s="4"/>
      <c r="H777" s="4"/>
      <c r="I777" s="4"/>
      <c r="J777" s="18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4"/>
      <c r="X777" s="4"/>
      <c r="Y777" s="4"/>
      <c r="Z777" s="4"/>
    </row>
    <row r="778" spans="1:26" ht="14.25" customHeight="1" x14ac:dyDescent="0.3">
      <c r="A778" s="35"/>
      <c r="B778" s="4"/>
      <c r="C778" s="4"/>
      <c r="D778" s="4"/>
      <c r="E778" s="4"/>
      <c r="F778" s="4"/>
      <c r="G778" s="4"/>
      <c r="H778" s="4"/>
      <c r="I778" s="4"/>
      <c r="J778" s="18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4"/>
      <c r="X778" s="4"/>
      <c r="Y778" s="4"/>
      <c r="Z778" s="4"/>
    </row>
    <row r="779" spans="1:26" ht="14.25" customHeight="1" x14ac:dyDescent="0.3">
      <c r="A779" s="35"/>
      <c r="B779" s="4"/>
      <c r="C779" s="4"/>
      <c r="D779" s="4"/>
      <c r="E779" s="4"/>
      <c r="F779" s="4"/>
      <c r="G779" s="4"/>
      <c r="H779" s="4"/>
      <c r="I779" s="4"/>
      <c r="J779" s="18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4"/>
      <c r="X779" s="4"/>
      <c r="Y779" s="4"/>
      <c r="Z779" s="4"/>
    </row>
    <row r="780" spans="1:26" ht="14.25" customHeight="1" x14ac:dyDescent="0.3">
      <c r="A780" s="35"/>
      <c r="B780" s="4"/>
      <c r="C780" s="4"/>
      <c r="D780" s="4"/>
      <c r="E780" s="4"/>
      <c r="F780" s="4"/>
      <c r="G780" s="4"/>
      <c r="H780" s="4"/>
      <c r="I780" s="4"/>
      <c r="J780" s="18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4"/>
      <c r="X780" s="4"/>
      <c r="Y780" s="4"/>
      <c r="Z780" s="4"/>
    </row>
    <row r="781" spans="1:26" ht="14.25" customHeight="1" x14ac:dyDescent="0.3">
      <c r="A781" s="35"/>
      <c r="B781" s="4"/>
      <c r="C781" s="4"/>
      <c r="D781" s="4"/>
      <c r="E781" s="4"/>
      <c r="F781" s="4"/>
      <c r="G781" s="4"/>
      <c r="H781" s="4"/>
      <c r="I781" s="4"/>
      <c r="J781" s="18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4"/>
      <c r="X781" s="4"/>
      <c r="Y781" s="4"/>
      <c r="Z781" s="4"/>
    </row>
    <row r="782" spans="1:26" ht="14.25" customHeight="1" x14ac:dyDescent="0.3">
      <c r="A782" s="35"/>
      <c r="B782" s="4"/>
      <c r="C782" s="4"/>
      <c r="D782" s="4"/>
      <c r="E782" s="4"/>
      <c r="F782" s="4"/>
      <c r="G782" s="4"/>
      <c r="H782" s="4"/>
      <c r="I782" s="4"/>
      <c r="J782" s="18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4"/>
      <c r="X782" s="4"/>
      <c r="Y782" s="4"/>
      <c r="Z782" s="4"/>
    </row>
    <row r="783" spans="1:26" ht="14.25" customHeight="1" x14ac:dyDescent="0.3">
      <c r="A783" s="35"/>
      <c r="B783" s="4"/>
      <c r="C783" s="4"/>
      <c r="D783" s="4"/>
      <c r="E783" s="4"/>
      <c r="F783" s="4"/>
      <c r="G783" s="4"/>
      <c r="H783" s="4"/>
      <c r="I783" s="4"/>
      <c r="J783" s="18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4"/>
      <c r="X783" s="4"/>
      <c r="Y783" s="4"/>
      <c r="Z783" s="4"/>
    </row>
    <row r="784" spans="1:26" ht="14.25" customHeight="1" x14ac:dyDescent="0.3">
      <c r="A784" s="35"/>
      <c r="B784" s="4"/>
      <c r="C784" s="4"/>
      <c r="D784" s="4"/>
      <c r="E784" s="4"/>
      <c r="F784" s="4"/>
      <c r="G784" s="4"/>
      <c r="H784" s="4"/>
      <c r="I784" s="4"/>
      <c r="J784" s="18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4"/>
      <c r="X784" s="4"/>
      <c r="Y784" s="4"/>
      <c r="Z784" s="4"/>
    </row>
    <row r="785" spans="1:26" ht="14.25" customHeight="1" x14ac:dyDescent="0.3">
      <c r="A785" s="35"/>
      <c r="B785" s="4"/>
      <c r="C785" s="4"/>
      <c r="D785" s="4"/>
      <c r="E785" s="4"/>
      <c r="F785" s="4"/>
      <c r="G785" s="4"/>
      <c r="H785" s="4"/>
      <c r="I785" s="4"/>
      <c r="J785" s="18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4"/>
      <c r="X785" s="4"/>
      <c r="Y785" s="4"/>
      <c r="Z785" s="4"/>
    </row>
    <row r="786" spans="1:26" ht="14.25" customHeight="1" x14ac:dyDescent="0.3">
      <c r="A786" s="35"/>
      <c r="B786" s="4"/>
      <c r="C786" s="4"/>
      <c r="D786" s="4"/>
      <c r="E786" s="4"/>
      <c r="F786" s="4"/>
      <c r="G786" s="4"/>
      <c r="H786" s="4"/>
      <c r="I786" s="4"/>
      <c r="J786" s="18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4"/>
      <c r="X786" s="4"/>
      <c r="Y786" s="4"/>
      <c r="Z786" s="4"/>
    </row>
    <row r="787" spans="1:26" ht="14.25" customHeight="1" x14ac:dyDescent="0.3">
      <c r="A787" s="35"/>
      <c r="B787" s="4"/>
      <c r="C787" s="4"/>
      <c r="D787" s="4"/>
      <c r="E787" s="4"/>
      <c r="F787" s="4"/>
      <c r="G787" s="4"/>
      <c r="H787" s="4"/>
      <c r="I787" s="4"/>
      <c r="J787" s="18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4"/>
      <c r="X787" s="4"/>
      <c r="Y787" s="4"/>
      <c r="Z787" s="4"/>
    </row>
    <row r="788" spans="1:26" ht="14.25" customHeight="1" x14ac:dyDescent="0.3">
      <c r="A788" s="35"/>
      <c r="B788" s="4"/>
      <c r="C788" s="4"/>
      <c r="D788" s="4"/>
      <c r="E788" s="4"/>
      <c r="F788" s="4"/>
      <c r="G788" s="4"/>
      <c r="H788" s="4"/>
      <c r="I788" s="4"/>
      <c r="J788" s="18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4"/>
      <c r="X788" s="4"/>
      <c r="Y788" s="4"/>
      <c r="Z788" s="4"/>
    </row>
    <row r="789" spans="1:26" ht="14.25" customHeight="1" x14ac:dyDescent="0.3">
      <c r="A789" s="35"/>
      <c r="B789" s="4"/>
      <c r="C789" s="4"/>
      <c r="D789" s="4"/>
      <c r="E789" s="4"/>
      <c r="F789" s="4"/>
      <c r="G789" s="4"/>
      <c r="H789" s="4"/>
      <c r="I789" s="4"/>
      <c r="J789" s="18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4"/>
      <c r="X789" s="4"/>
      <c r="Y789" s="4"/>
      <c r="Z789" s="4"/>
    </row>
    <row r="790" spans="1:26" ht="14.25" customHeight="1" x14ac:dyDescent="0.3">
      <c r="A790" s="35"/>
      <c r="B790" s="4"/>
      <c r="C790" s="4"/>
      <c r="D790" s="4"/>
      <c r="E790" s="4"/>
      <c r="F790" s="4"/>
      <c r="G790" s="4"/>
      <c r="H790" s="4"/>
      <c r="I790" s="4"/>
      <c r="J790" s="18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4"/>
      <c r="X790" s="4"/>
      <c r="Y790" s="4"/>
      <c r="Z790" s="4"/>
    </row>
    <row r="791" spans="1:26" ht="14.25" customHeight="1" x14ac:dyDescent="0.3">
      <c r="A791" s="35"/>
      <c r="B791" s="4"/>
      <c r="C791" s="4"/>
      <c r="D791" s="4"/>
      <c r="E791" s="4"/>
      <c r="F791" s="4"/>
      <c r="G791" s="4"/>
      <c r="H791" s="4"/>
      <c r="I791" s="4"/>
      <c r="J791" s="18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4"/>
      <c r="X791" s="4"/>
      <c r="Y791" s="4"/>
      <c r="Z791" s="4"/>
    </row>
    <row r="792" spans="1:26" ht="14.25" customHeight="1" x14ac:dyDescent="0.3">
      <c r="A792" s="35"/>
      <c r="B792" s="4"/>
      <c r="C792" s="4"/>
      <c r="D792" s="4"/>
      <c r="E792" s="4"/>
      <c r="F792" s="4"/>
      <c r="G792" s="4"/>
      <c r="H792" s="4"/>
      <c r="I792" s="4"/>
      <c r="J792" s="18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4"/>
      <c r="X792" s="4"/>
      <c r="Y792" s="4"/>
      <c r="Z792" s="4"/>
    </row>
    <row r="793" spans="1:26" ht="14.25" customHeight="1" x14ac:dyDescent="0.3">
      <c r="A793" s="35"/>
      <c r="B793" s="4"/>
      <c r="C793" s="4"/>
      <c r="D793" s="4"/>
      <c r="E793" s="4"/>
      <c r="F793" s="4"/>
      <c r="G793" s="4"/>
      <c r="H793" s="4"/>
      <c r="I793" s="4"/>
      <c r="J793" s="18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4"/>
      <c r="X793" s="4"/>
      <c r="Y793" s="4"/>
      <c r="Z793" s="4"/>
    </row>
    <row r="794" spans="1:26" ht="14.25" customHeight="1" x14ac:dyDescent="0.3">
      <c r="A794" s="35"/>
      <c r="B794" s="4"/>
      <c r="C794" s="4"/>
      <c r="D794" s="4"/>
      <c r="E794" s="4"/>
      <c r="F794" s="4"/>
      <c r="G794" s="4"/>
      <c r="H794" s="4"/>
      <c r="I794" s="4"/>
      <c r="J794" s="18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4"/>
      <c r="X794" s="4"/>
      <c r="Y794" s="4"/>
      <c r="Z794" s="4"/>
    </row>
    <row r="795" spans="1:26" ht="14.25" customHeight="1" x14ac:dyDescent="0.3">
      <c r="A795" s="35"/>
      <c r="B795" s="4"/>
      <c r="C795" s="4"/>
      <c r="D795" s="4"/>
      <c r="E795" s="4"/>
      <c r="F795" s="4"/>
      <c r="G795" s="4"/>
      <c r="H795" s="4"/>
      <c r="I795" s="4"/>
      <c r="J795" s="18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4"/>
      <c r="X795" s="4"/>
      <c r="Y795" s="4"/>
      <c r="Z795" s="4"/>
    </row>
    <row r="796" spans="1:26" ht="14.25" customHeight="1" x14ac:dyDescent="0.3">
      <c r="A796" s="35"/>
      <c r="B796" s="4"/>
      <c r="C796" s="4"/>
      <c r="D796" s="4"/>
      <c r="E796" s="4"/>
      <c r="F796" s="4"/>
      <c r="G796" s="4"/>
      <c r="H796" s="4"/>
      <c r="I796" s="4"/>
      <c r="J796" s="18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4"/>
      <c r="X796" s="4"/>
      <c r="Y796" s="4"/>
      <c r="Z796" s="4"/>
    </row>
    <row r="797" spans="1:26" ht="14.25" customHeight="1" x14ac:dyDescent="0.3">
      <c r="A797" s="35"/>
      <c r="B797" s="4"/>
      <c r="C797" s="4"/>
      <c r="D797" s="4"/>
      <c r="E797" s="4"/>
      <c r="F797" s="4"/>
      <c r="G797" s="4"/>
      <c r="H797" s="4"/>
      <c r="I797" s="4"/>
      <c r="J797" s="18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4"/>
      <c r="X797" s="4"/>
      <c r="Y797" s="4"/>
      <c r="Z797" s="4"/>
    </row>
    <row r="798" spans="1:26" ht="14.25" customHeight="1" x14ac:dyDescent="0.3">
      <c r="A798" s="35"/>
      <c r="B798" s="4"/>
      <c r="C798" s="4"/>
      <c r="D798" s="4"/>
      <c r="E798" s="4"/>
      <c r="F798" s="4"/>
      <c r="G798" s="4"/>
      <c r="H798" s="4"/>
      <c r="I798" s="4"/>
      <c r="J798" s="18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4"/>
      <c r="X798" s="4"/>
      <c r="Y798" s="4"/>
      <c r="Z798" s="4"/>
    </row>
    <row r="799" spans="1:26" ht="14.25" customHeight="1" x14ac:dyDescent="0.3">
      <c r="A799" s="35"/>
      <c r="B799" s="4"/>
      <c r="C799" s="4"/>
      <c r="D799" s="4"/>
      <c r="E799" s="4"/>
      <c r="F799" s="4"/>
      <c r="G799" s="4"/>
      <c r="H799" s="4"/>
      <c r="I799" s="4"/>
      <c r="J799" s="18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4"/>
      <c r="X799" s="4"/>
      <c r="Y799" s="4"/>
      <c r="Z799" s="4"/>
    </row>
    <row r="800" spans="1:26" ht="14.25" customHeight="1" x14ac:dyDescent="0.3">
      <c r="A800" s="35"/>
      <c r="B800" s="4"/>
      <c r="C800" s="4"/>
      <c r="D800" s="4"/>
      <c r="E800" s="4"/>
      <c r="F800" s="4"/>
      <c r="G800" s="4"/>
      <c r="H800" s="4"/>
      <c r="I800" s="4"/>
      <c r="J800" s="18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4"/>
      <c r="X800" s="4"/>
      <c r="Y800" s="4"/>
      <c r="Z800" s="4"/>
    </row>
    <row r="801" spans="1:26" ht="14.25" customHeight="1" x14ac:dyDescent="0.3">
      <c r="A801" s="35"/>
      <c r="B801" s="4"/>
      <c r="C801" s="4"/>
      <c r="D801" s="4"/>
      <c r="E801" s="4"/>
      <c r="F801" s="4"/>
      <c r="G801" s="4"/>
      <c r="H801" s="4"/>
      <c r="I801" s="4"/>
      <c r="J801" s="18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4"/>
      <c r="X801" s="4"/>
      <c r="Y801" s="4"/>
      <c r="Z801" s="4"/>
    </row>
    <row r="802" spans="1:26" ht="14.25" customHeight="1" x14ac:dyDescent="0.3">
      <c r="A802" s="35"/>
      <c r="B802" s="4"/>
      <c r="C802" s="4"/>
      <c r="D802" s="4"/>
      <c r="E802" s="4"/>
      <c r="F802" s="4"/>
      <c r="G802" s="4"/>
      <c r="H802" s="4"/>
      <c r="I802" s="4"/>
      <c r="J802" s="18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4"/>
      <c r="X802" s="4"/>
      <c r="Y802" s="4"/>
      <c r="Z802" s="4"/>
    </row>
    <row r="803" spans="1:26" ht="14.25" customHeight="1" x14ac:dyDescent="0.3">
      <c r="A803" s="35"/>
      <c r="B803" s="4"/>
      <c r="C803" s="4"/>
      <c r="D803" s="4"/>
      <c r="E803" s="4"/>
      <c r="F803" s="4"/>
      <c r="G803" s="4"/>
      <c r="H803" s="4"/>
      <c r="I803" s="4"/>
      <c r="J803" s="18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4"/>
      <c r="X803" s="4"/>
      <c r="Y803" s="4"/>
      <c r="Z803" s="4"/>
    </row>
    <row r="804" spans="1:26" ht="14.25" customHeight="1" x14ac:dyDescent="0.3">
      <c r="A804" s="35"/>
      <c r="B804" s="4"/>
      <c r="C804" s="4"/>
      <c r="D804" s="4"/>
      <c r="E804" s="4"/>
      <c r="F804" s="4"/>
      <c r="G804" s="4"/>
      <c r="H804" s="4"/>
      <c r="I804" s="4"/>
      <c r="J804" s="18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4"/>
      <c r="X804" s="4"/>
      <c r="Y804" s="4"/>
      <c r="Z804" s="4"/>
    </row>
    <row r="805" spans="1:26" ht="14.25" customHeight="1" x14ac:dyDescent="0.3">
      <c r="A805" s="35"/>
      <c r="B805" s="4"/>
      <c r="C805" s="4"/>
      <c r="D805" s="4"/>
      <c r="E805" s="4"/>
      <c r="F805" s="4"/>
      <c r="G805" s="4"/>
      <c r="H805" s="4"/>
      <c r="I805" s="4"/>
      <c r="J805" s="18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4"/>
      <c r="X805" s="4"/>
      <c r="Y805" s="4"/>
      <c r="Z805" s="4"/>
    </row>
    <row r="806" spans="1:26" ht="14.25" customHeight="1" x14ac:dyDescent="0.3">
      <c r="A806" s="35"/>
      <c r="B806" s="4"/>
      <c r="C806" s="4"/>
      <c r="D806" s="4"/>
      <c r="E806" s="4"/>
      <c r="F806" s="4"/>
      <c r="G806" s="4"/>
      <c r="H806" s="4"/>
      <c r="I806" s="4"/>
      <c r="J806" s="18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4"/>
      <c r="X806" s="4"/>
      <c r="Y806" s="4"/>
      <c r="Z806" s="4"/>
    </row>
    <row r="807" spans="1:26" ht="14.25" customHeight="1" x14ac:dyDescent="0.3">
      <c r="A807" s="35"/>
      <c r="B807" s="4"/>
      <c r="C807" s="4"/>
      <c r="D807" s="4"/>
      <c r="E807" s="4"/>
      <c r="F807" s="4"/>
      <c r="G807" s="4"/>
      <c r="H807" s="4"/>
      <c r="I807" s="4"/>
      <c r="J807" s="18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4"/>
      <c r="X807" s="4"/>
      <c r="Y807" s="4"/>
      <c r="Z807" s="4"/>
    </row>
    <row r="808" spans="1:26" ht="14.25" customHeight="1" x14ac:dyDescent="0.3">
      <c r="A808" s="35"/>
      <c r="B808" s="4"/>
      <c r="C808" s="4"/>
      <c r="D808" s="4"/>
      <c r="E808" s="4"/>
      <c r="F808" s="4"/>
      <c r="G808" s="4"/>
      <c r="H808" s="4"/>
      <c r="I808" s="4"/>
      <c r="J808" s="18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4"/>
      <c r="X808" s="4"/>
      <c r="Y808" s="4"/>
      <c r="Z808" s="4"/>
    </row>
    <row r="809" spans="1:26" ht="14.25" customHeight="1" x14ac:dyDescent="0.3">
      <c r="A809" s="35"/>
      <c r="B809" s="4"/>
      <c r="C809" s="4"/>
      <c r="D809" s="4"/>
      <c r="E809" s="4"/>
      <c r="F809" s="4"/>
      <c r="G809" s="4"/>
      <c r="H809" s="4"/>
      <c r="I809" s="4"/>
      <c r="J809" s="18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4"/>
      <c r="X809" s="4"/>
      <c r="Y809" s="4"/>
      <c r="Z809" s="4"/>
    </row>
    <row r="810" spans="1:26" ht="14.25" customHeight="1" x14ac:dyDescent="0.3">
      <c r="A810" s="35"/>
      <c r="B810" s="4"/>
      <c r="C810" s="4"/>
      <c r="D810" s="4"/>
      <c r="E810" s="4"/>
      <c r="F810" s="4"/>
      <c r="G810" s="4"/>
      <c r="H810" s="4"/>
      <c r="I810" s="4"/>
      <c r="J810" s="18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4"/>
      <c r="X810" s="4"/>
      <c r="Y810" s="4"/>
      <c r="Z810" s="4"/>
    </row>
    <row r="811" spans="1:26" ht="14.25" customHeight="1" x14ac:dyDescent="0.3">
      <c r="A811" s="35"/>
      <c r="B811" s="4"/>
      <c r="C811" s="4"/>
      <c r="D811" s="4"/>
      <c r="E811" s="4"/>
      <c r="F811" s="4"/>
      <c r="G811" s="4"/>
      <c r="H811" s="4"/>
      <c r="I811" s="4"/>
      <c r="J811" s="18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4"/>
      <c r="X811" s="4"/>
      <c r="Y811" s="4"/>
      <c r="Z811" s="4"/>
    </row>
    <row r="812" spans="1:26" ht="14.25" customHeight="1" x14ac:dyDescent="0.3">
      <c r="A812" s="35"/>
      <c r="B812" s="4"/>
      <c r="C812" s="4"/>
      <c r="D812" s="4"/>
      <c r="E812" s="4"/>
      <c r="F812" s="4"/>
      <c r="G812" s="4"/>
      <c r="H812" s="4"/>
      <c r="I812" s="4"/>
      <c r="J812" s="18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4"/>
      <c r="X812" s="4"/>
      <c r="Y812" s="4"/>
      <c r="Z812" s="4"/>
    </row>
    <row r="813" spans="1:26" ht="14.25" customHeight="1" x14ac:dyDescent="0.3">
      <c r="A813" s="35"/>
      <c r="B813" s="4"/>
      <c r="C813" s="4"/>
      <c r="D813" s="4"/>
      <c r="E813" s="4"/>
      <c r="F813" s="4"/>
      <c r="G813" s="4"/>
      <c r="H813" s="4"/>
      <c r="I813" s="4"/>
      <c r="J813" s="18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4"/>
      <c r="X813" s="4"/>
      <c r="Y813" s="4"/>
      <c r="Z813" s="4"/>
    </row>
    <row r="814" spans="1:26" ht="14.25" customHeight="1" x14ac:dyDescent="0.3">
      <c r="A814" s="35"/>
      <c r="B814" s="4"/>
      <c r="C814" s="4"/>
      <c r="D814" s="4"/>
      <c r="E814" s="4"/>
      <c r="F814" s="4"/>
      <c r="G814" s="4"/>
      <c r="H814" s="4"/>
      <c r="I814" s="4"/>
      <c r="J814" s="18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4"/>
      <c r="X814" s="4"/>
      <c r="Y814" s="4"/>
      <c r="Z814" s="4"/>
    </row>
    <row r="815" spans="1:26" ht="14.25" customHeight="1" x14ac:dyDescent="0.3">
      <c r="A815" s="35"/>
      <c r="B815" s="4"/>
      <c r="C815" s="4"/>
      <c r="D815" s="4"/>
      <c r="E815" s="4"/>
      <c r="F815" s="4"/>
      <c r="G815" s="4"/>
      <c r="H815" s="4"/>
      <c r="I815" s="4"/>
      <c r="J815" s="18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4"/>
      <c r="X815" s="4"/>
      <c r="Y815" s="4"/>
      <c r="Z815" s="4"/>
    </row>
    <row r="816" spans="1:26" ht="14.25" customHeight="1" x14ac:dyDescent="0.3">
      <c r="A816" s="35"/>
      <c r="B816" s="4"/>
      <c r="C816" s="4"/>
      <c r="D816" s="4"/>
      <c r="E816" s="4"/>
      <c r="F816" s="4"/>
      <c r="G816" s="4"/>
      <c r="H816" s="4"/>
      <c r="I816" s="4"/>
      <c r="J816" s="18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4"/>
      <c r="X816" s="4"/>
      <c r="Y816" s="4"/>
      <c r="Z816" s="4"/>
    </row>
    <row r="817" spans="1:26" ht="14.25" customHeight="1" x14ac:dyDescent="0.3">
      <c r="A817" s="35"/>
      <c r="B817" s="4"/>
      <c r="C817" s="4"/>
      <c r="D817" s="4"/>
      <c r="E817" s="4"/>
      <c r="F817" s="4"/>
      <c r="G817" s="4"/>
      <c r="H817" s="4"/>
      <c r="I817" s="4"/>
      <c r="J817" s="18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4"/>
      <c r="X817" s="4"/>
      <c r="Y817" s="4"/>
      <c r="Z817" s="4"/>
    </row>
    <row r="818" spans="1:26" ht="14.25" customHeight="1" x14ac:dyDescent="0.3">
      <c r="A818" s="35"/>
      <c r="B818" s="4"/>
      <c r="C818" s="4"/>
      <c r="D818" s="4"/>
      <c r="E818" s="4"/>
      <c r="F818" s="4"/>
      <c r="G818" s="4"/>
      <c r="H818" s="4"/>
      <c r="I818" s="4"/>
      <c r="J818" s="18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4"/>
      <c r="X818" s="4"/>
      <c r="Y818" s="4"/>
      <c r="Z818" s="4"/>
    </row>
    <row r="819" spans="1:26" ht="14.25" customHeight="1" x14ac:dyDescent="0.3">
      <c r="A819" s="35"/>
      <c r="B819" s="4"/>
      <c r="C819" s="4"/>
      <c r="D819" s="4"/>
      <c r="E819" s="4"/>
      <c r="F819" s="4"/>
      <c r="G819" s="4"/>
      <c r="H819" s="4"/>
      <c r="I819" s="4"/>
      <c r="J819" s="18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4"/>
      <c r="X819" s="4"/>
      <c r="Y819" s="4"/>
      <c r="Z819" s="4"/>
    </row>
    <row r="820" spans="1:26" ht="14.25" customHeight="1" x14ac:dyDescent="0.3">
      <c r="A820" s="35"/>
      <c r="B820" s="4"/>
      <c r="C820" s="4"/>
      <c r="D820" s="4"/>
      <c r="E820" s="4"/>
      <c r="F820" s="4"/>
      <c r="G820" s="4"/>
      <c r="H820" s="4"/>
      <c r="I820" s="4"/>
      <c r="J820" s="18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4"/>
      <c r="X820" s="4"/>
      <c r="Y820" s="4"/>
      <c r="Z820" s="4"/>
    </row>
    <row r="821" spans="1:26" ht="14.25" customHeight="1" x14ac:dyDescent="0.3">
      <c r="A821" s="35"/>
      <c r="B821" s="4"/>
      <c r="C821" s="4"/>
      <c r="D821" s="4"/>
      <c r="E821" s="4"/>
      <c r="F821" s="4"/>
      <c r="G821" s="4"/>
      <c r="H821" s="4"/>
      <c r="I821" s="4"/>
      <c r="J821" s="18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4"/>
      <c r="X821" s="4"/>
      <c r="Y821" s="4"/>
      <c r="Z821" s="4"/>
    </row>
    <row r="822" spans="1:26" ht="14.25" customHeight="1" x14ac:dyDescent="0.3">
      <c r="A822" s="35"/>
      <c r="B822" s="4"/>
      <c r="C822" s="4"/>
      <c r="D822" s="4"/>
      <c r="E822" s="4"/>
      <c r="F822" s="4"/>
      <c r="G822" s="4"/>
      <c r="H822" s="4"/>
      <c r="I822" s="4"/>
      <c r="J822" s="18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4"/>
      <c r="X822" s="4"/>
      <c r="Y822" s="4"/>
      <c r="Z822" s="4"/>
    </row>
    <row r="823" spans="1:26" ht="14.25" customHeight="1" x14ac:dyDescent="0.3">
      <c r="A823" s="35"/>
      <c r="B823" s="4"/>
      <c r="C823" s="4"/>
      <c r="D823" s="4"/>
      <c r="E823" s="4"/>
      <c r="F823" s="4"/>
      <c r="G823" s="4"/>
      <c r="H823" s="4"/>
      <c r="I823" s="4"/>
      <c r="J823" s="18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4"/>
      <c r="X823" s="4"/>
      <c r="Y823" s="4"/>
      <c r="Z823" s="4"/>
    </row>
    <row r="824" spans="1:26" ht="14.25" customHeight="1" x14ac:dyDescent="0.3">
      <c r="A824" s="35"/>
      <c r="B824" s="4"/>
      <c r="C824" s="4"/>
      <c r="D824" s="4"/>
      <c r="E824" s="4"/>
      <c r="F824" s="4"/>
      <c r="G824" s="4"/>
      <c r="H824" s="4"/>
      <c r="I824" s="4"/>
      <c r="J824" s="18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4"/>
      <c r="X824" s="4"/>
      <c r="Y824" s="4"/>
      <c r="Z824" s="4"/>
    </row>
    <row r="825" spans="1:26" ht="14.25" customHeight="1" x14ac:dyDescent="0.3">
      <c r="A825" s="35"/>
      <c r="B825" s="4"/>
      <c r="C825" s="4"/>
      <c r="D825" s="4"/>
      <c r="E825" s="4"/>
      <c r="F825" s="4"/>
      <c r="G825" s="4"/>
      <c r="H825" s="4"/>
      <c r="I825" s="4"/>
      <c r="J825" s="18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4"/>
      <c r="X825" s="4"/>
      <c r="Y825" s="4"/>
      <c r="Z825" s="4"/>
    </row>
    <row r="826" spans="1:26" ht="14.25" customHeight="1" x14ac:dyDescent="0.3">
      <c r="A826" s="35"/>
      <c r="B826" s="4"/>
      <c r="C826" s="4"/>
      <c r="D826" s="4"/>
      <c r="E826" s="4"/>
      <c r="F826" s="4"/>
      <c r="G826" s="4"/>
      <c r="H826" s="4"/>
      <c r="I826" s="4"/>
      <c r="J826" s="18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4"/>
      <c r="X826" s="4"/>
      <c r="Y826" s="4"/>
      <c r="Z826" s="4"/>
    </row>
    <row r="827" spans="1:26" ht="14.25" customHeight="1" x14ac:dyDescent="0.3">
      <c r="A827" s="35"/>
      <c r="B827" s="4"/>
      <c r="C827" s="4"/>
      <c r="D827" s="4"/>
      <c r="E827" s="4"/>
      <c r="F827" s="4"/>
      <c r="G827" s="4"/>
      <c r="H827" s="4"/>
      <c r="I827" s="4"/>
      <c r="J827" s="18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4"/>
      <c r="X827" s="4"/>
      <c r="Y827" s="4"/>
      <c r="Z827" s="4"/>
    </row>
    <row r="828" spans="1:26" ht="14.25" customHeight="1" x14ac:dyDescent="0.3">
      <c r="A828" s="35"/>
      <c r="B828" s="4"/>
      <c r="C828" s="4"/>
      <c r="D828" s="4"/>
      <c r="E828" s="4"/>
      <c r="F828" s="4"/>
      <c r="G828" s="4"/>
      <c r="H828" s="4"/>
      <c r="I828" s="4"/>
      <c r="J828" s="18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4"/>
      <c r="X828" s="4"/>
      <c r="Y828" s="4"/>
      <c r="Z828" s="4"/>
    </row>
    <row r="829" spans="1:26" ht="14.25" customHeight="1" x14ac:dyDescent="0.3">
      <c r="A829" s="35"/>
      <c r="B829" s="4"/>
      <c r="C829" s="4"/>
      <c r="D829" s="4"/>
      <c r="E829" s="4"/>
      <c r="F829" s="4"/>
      <c r="G829" s="4"/>
      <c r="H829" s="4"/>
      <c r="I829" s="4"/>
      <c r="J829" s="18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4"/>
      <c r="X829" s="4"/>
      <c r="Y829" s="4"/>
      <c r="Z829" s="4"/>
    </row>
    <row r="830" spans="1:26" ht="14.25" customHeight="1" x14ac:dyDescent="0.3">
      <c r="A830" s="35"/>
      <c r="B830" s="4"/>
      <c r="C830" s="4"/>
      <c r="D830" s="4"/>
      <c r="E830" s="4"/>
      <c r="F830" s="4"/>
      <c r="G830" s="4"/>
      <c r="H830" s="4"/>
      <c r="I830" s="4"/>
      <c r="J830" s="18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4"/>
      <c r="X830" s="4"/>
      <c r="Y830" s="4"/>
      <c r="Z830" s="4"/>
    </row>
    <row r="831" spans="1:26" ht="14.25" customHeight="1" x14ac:dyDescent="0.3">
      <c r="A831" s="35"/>
      <c r="B831" s="4"/>
      <c r="C831" s="4"/>
      <c r="D831" s="4"/>
      <c r="E831" s="4"/>
      <c r="F831" s="4"/>
      <c r="G831" s="4"/>
      <c r="H831" s="4"/>
      <c r="I831" s="4"/>
      <c r="J831" s="18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4"/>
      <c r="X831" s="4"/>
      <c r="Y831" s="4"/>
      <c r="Z831" s="4"/>
    </row>
    <row r="832" spans="1:26" ht="14.25" customHeight="1" x14ac:dyDescent="0.3">
      <c r="A832" s="35"/>
      <c r="B832" s="4"/>
      <c r="C832" s="4"/>
      <c r="D832" s="4"/>
      <c r="E832" s="4"/>
      <c r="F832" s="4"/>
      <c r="G832" s="4"/>
      <c r="H832" s="4"/>
      <c r="I832" s="4"/>
      <c r="J832" s="18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4"/>
      <c r="X832" s="4"/>
      <c r="Y832" s="4"/>
      <c r="Z832" s="4"/>
    </row>
    <row r="833" spans="1:26" ht="14.25" customHeight="1" x14ac:dyDescent="0.3">
      <c r="A833" s="35"/>
      <c r="B833" s="4"/>
      <c r="C833" s="4"/>
      <c r="D833" s="4"/>
      <c r="E833" s="4"/>
      <c r="F833" s="4"/>
      <c r="G833" s="4"/>
      <c r="H833" s="4"/>
      <c r="I833" s="4"/>
      <c r="J833" s="18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4"/>
      <c r="X833" s="4"/>
      <c r="Y833" s="4"/>
      <c r="Z833" s="4"/>
    </row>
    <row r="834" spans="1:26" ht="14.25" customHeight="1" x14ac:dyDescent="0.3">
      <c r="A834" s="35"/>
      <c r="B834" s="4"/>
      <c r="C834" s="4"/>
      <c r="D834" s="4"/>
      <c r="E834" s="4"/>
      <c r="F834" s="4"/>
      <c r="G834" s="4"/>
      <c r="H834" s="4"/>
      <c r="I834" s="4"/>
      <c r="J834" s="18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4"/>
      <c r="X834" s="4"/>
      <c r="Y834" s="4"/>
      <c r="Z834" s="4"/>
    </row>
    <row r="835" spans="1:26" ht="14.25" customHeight="1" x14ac:dyDescent="0.3">
      <c r="A835" s="35"/>
      <c r="B835" s="4"/>
      <c r="C835" s="4"/>
      <c r="D835" s="4"/>
      <c r="E835" s="4"/>
      <c r="F835" s="4"/>
      <c r="G835" s="4"/>
      <c r="H835" s="4"/>
      <c r="I835" s="4"/>
      <c r="J835" s="18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4"/>
      <c r="X835" s="4"/>
      <c r="Y835" s="4"/>
      <c r="Z835" s="4"/>
    </row>
    <row r="836" spans="1:26" ht="14.25" customHeight="1" x14ac:dyDescent="0.3">
      <c r="A836" s="35"/>
      <c r="B836" s="4"/>
      <c r="C836" s="4"/>
      <c r="D836" s="4"/>
      <c r="E836" s="4"/>
      <c r="F836" s="4"/>
      <c r="G836" s="4"/>
      <c r="H836" s="4"/>
      <c r="I836" s="4"/>
      <c r="J836" s="18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4"/>
      <c r="X836" s="4"/>
      <c r="Y836" s="4"/>
      <c r="Z836" s="4"/>
    </row>
    <row r="837" spans="1:26" ht="14.25" customHeight="1" x14ac:dyDescent="0.3">
      <c r="A837" s="35"/>
      <c r="B837" s="4"/>
      <c r="C837" s="4"/>
      <c r="D837" s="4"/>
      <c r="E837" s="4"/>
      <c r="F837" s="4"/>
      <c r="G837" s="4"/>
      <c r="H837" s="4"/>
      <c r="I837" s="4"/>
      <c r="J837" s="18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4"/>
      <c r="X837" s="4"/>
      <c r="Y837" s="4"/>
      <c r="Z837" s="4"/>
    </row>
    <row r="838" spans="1:26" ht="14.25" customHeight="1" x14ac:dyDescent="0.3">
      <c r="A838" s="35"/>
      <c r="B838" s="4"/>
      <c r="C838" s="4"/>
      <c r="D838" s="4"/>
      <c r="E838" s="4"/>
      <c r="F838" s="4"/>
      <c r="G838" s="4"/>
      <c r="H838" s="4"/>
      <c r="I838" s="4"/>
      <c r="J838" s="18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4"/>
      <c r="X838" s="4"/>
      <c r="Y838" s="4"/>
      <c r="Z838" s="4"/>
    </row>
    <row r="839" spans="1:26" ht="14.25" customHeight="1" x14ac:dyDescent="0.3">
      <c r="A839" s="35"/>
      <c r="B839" s="4"/>
      <c r="C839" s="4"/>
      <c r="D839" s="4"/>
      <c r="E839" s="4"/>
      <c r="F839" s="4"/>
      <c r="G839" s="4"/>
      <c r="H839" s="4"/>
      <c r="I839" s="4"/>
      <c r="J839" s="18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4"/>
      <c r="X839" s="4"/>
      <c r="Y839" s="4"/>
      <c r="Z839" s="4"/>
    </row>
    <row r="840" spans="1:26" ht="14.25" customHeight="1" x14ac:dyDescent="0.3">
      <c r="A840" s="35"/>
      <c r="B840" s="4"/>
      <c r="C840" s="4"/>
      <c r="D840" s="4"/>
      <c r="E840" s="4"/>
      <c r="F840" s="4"/>
      <c r="G840" s="4"/>
      <c r="H840" s="4"/>
      <c r="I840" s="4"/>
      <c r="J840" s="18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4"/>
      <c r="X840" s="4"/>
      <c r="Y840" s="4"/>
      <c r="Z840" s="4"/>
    </row>
    <row r="841" spans="1:26" ht="14.25" customHeight="1" x14ac:dyDescent="0.3">
      <c r="A841" s="35"/>
      <c r="B841" s="4"/>
      <c r="C841" s="4"/>
      <c r="D841" s="4"/>
      <c r="E841" s="4"/>
      <c r="F841" s="4"/>
      <c r="G841" s="4"/>
      <c r="H841" s="4"/>
      <c r="I841" s="4"/>
      <c r="J841" s="18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4"/>
      <c r="X841" s="4"/>
      <c r="Y841" s="4"/>
      <c r="Z841" s="4"/>
    </row>
    <row r="842" spans="1:26" ht="14.25" customHeight="1" x14ac:dyDescent="0.3">
      <c r="A842" s="35"/>
      <c r="B842" s="4"/>
      <c r="C842" s="4"/>
      <c r="D842" s="4"/>
      <c r="E842" s="4"/>
      <c r="F842" s="4"/>
      <c r="G842" s="4"/>
      <c r="H842" s="4"/>
      <c r="I842" s="4"/>
      <c r="J842" s="18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4"/>
      <c r="X842" s="4"/>
      <c r="Y842" s="4"/>
      <c r="Z842" s="4"/>
    </row>
    <row r="843" spans="1:26" ht="14.25" customHeight="1" x14ac:dyDescent="0.3">
      <c r="A843" s="35"/>
      <c r="B843" s="4"/>
      <c r="C843" s="4"/>
      <c r="D843" s="4"/>
      <c r="E843" s="4"/>
      <c r="F843" s="4"/>
      <c r="G843" s="4"/>
      <c r="H843" s="4"/>
      <c r="I843" s="4"/>
      <c r="J843" s="18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4"/>
      <c r="X843" s="4"/>
      <c r="Y843" s="4"/>
      <c r="Z843" s="4"/>
    </row>
    <row r="844" spans="1:26" ht="14.25" customHeight="1" x14ac:dyDescent="0.3">
      <c r="A844" s="35"/>
      <c r="B844" s="4"/>
      <c r="C844" s="4"/>
      <c r="D844" s="4"/>
      <c r="E844" s="4"/>
      <c r="F844" s="4"/>
      <c r="G844" s="4"/>
      <c r="H844" s="4"/>
      <c r="I844" s="4"/>
      <c r="J844" s="18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4"/>
      <c r="X844" s="4"/>
      <c r="Y844" s="4"/>
      <c r="Z844" s="4"/>
    </row>
    <row r="845" spans="1:26" ht="14.25" customHeight="1" x14ac:dyDescent="0.3">
      <c r="A845" s="35"/>
      <c r="B845" s="4"/>
      <c r="C845" s="4"/>
      <c r="D845" s="4"/>
      <c r="E845" s="4"/>
      <c r="F845" s="4"/>
      <c r="G845" s="4"/>
      <c r="H845" s="4"/>
      <c r="I845" s="4"/>
      <c r="J845" s="18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4"/>
      <c r="X845" s="4"/>
      <c r="Y845" s="4"/>
      <c r="Z845" s="4"/>
    </row>
    <row r="846" spans="1:26" ht="14.25" customHeight="1" x14ac:dyDescent="0.3">
      <c r="A846" s="35"/>
      <c r="B846" s="4"/>
      <c r="C846" s="4"/>
      <c r="D846" s="4"/>
      <c r="E846" s="4"/>
      <c r="F846" s="4"/>
      <c r="G846" s="4"/>
      <c r="H846" s="4"/>
      <c r="I846" s="4"/>
      <c r="J846" s="18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4"/>
      <c r="X846" s="4"/>
      <c r="Y846" s="4"/>
      <c r="Z846" s="4"/>
    </row>
    <row r="847" spans="1:26" ht="14.25" customHeight="1" x14ac:dyDescent="0.3">
      <c r="A847" s="35"/>
      <c r="B847" s="4"/>
      <c r="C847" s="4"/>
      <c r="D847" s="4"/>
      <c r="E847" s="4"/>
      <c r="F847" s="4"/>
      <c r="G847" s="4"/>
      <c r="H847" s="4"/>
      <c r="I847" s="4"/>
      <c r="J847" s="18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4"/>
      <c r="X847" s="4"/>
      <c r="Y847" s="4"/>
      <c r="Z847" s="4"/>
    </row>
    <row r="848" spans="1:26" ht="14.25" customHeight="1" x14ac:dyDescent="0.3">
      <c r="A848" s="35"/>
      <c r="B848" s="4"/>
      <c r="C848" s="4"/>
      <c r="D848" s="4"/>
      <c r="E848" s="4"/>
      <c r="F848" s="4"/>
      <c r="G848" s="4"/>
      <c r="H848" s="4"/>
      <c r="I848" s="4"/>
      <c r="J848" s="18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4"/>
      <c r="X848" s="4"/>
      <c r="Y848" s="4"/>
      <c r="Z848" s="4"/>
    </row>
    <row r="849" spans="1:26" ht="14.25" customHeight="1" x14ac:dyDescent="0.3">
      <c r="A849" s="35"/>
      <c r="B849" s="4"/>
      <c r="C849" s="4"/>
      <c r="D849" s="4"/>
      <c r="E849" s="4"/>
      <c r="F849" s="4"/>
      <c r="G849" s="4"/>
      <c r="H849" s="4"/>
      <c r="I849" s="4"/>
      <c r="J849" s="18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4"/>
      <c r="X849" s="4"/>
      <c r="Y849" s="4"/>
      <c r="Z849" s="4"/>
    </row>
    <row r="850" spans="1:26" ht="14.25" customHeight="1" x14ac:dyDescent="0.3">
      <c r="A850" s="35"/>
      <c r="B850" s="4"/>
      <c r="C850" s="4"/>
      <c r="D850" s="4"/>
      <c r="E850" s="4"/>
      <c r="F850" s="4"/>
      <c r="G850" s="4"/>
      <c r="H850" s="4"/>
      <c r="I850" s="4"/>
      <c r="J850" s="18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4"/>
      <c r="X850" s="4"/>
      <c r="Y850" s="4"/>
      <c r="Z850" s="4"/>
    </row>
    <row r="851" spans="1:26" ht="14.25" customHeight="1" x14ac:dyDescent="0.3">
      <c r="A851" s="35"/>
      <c r="B851" s="4"/>
      <c r="C851" s="4"/>
      <c r="D851" s="4"/>
      <c r="E851" s="4"/>
      <c r="F851" s="4"/>
      <c r="G851" s="4"/>
      <c r="H851" s="4"/>
      <c r="I851" s="4"/>
      <c r="J851" s="18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4"/>
      <c r="X851" s="4"/>
      <c r="Y851" s="4"/>
      <c r="Z851" s="4"/>
    </row>
    <row r="852" spans="1:26" ht="14.25" customHeight="1" x14ac:dyDescent="0.3">
      <c r="A852" s="35"/>
      <c r="B852" s="4"/>
      <c r="C852" s="4"/>
      <c r="D852" s="4"/>
      <c r="E852" s="4"/>
      <c r="F852" s="4"/>
      <c r="G852" s="4"/>
      <c r="H852" s="4"/>
      <c r="I852" s="4"/>
      <c r="J852" s="18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4"/>
      <c r="X852" s="4"/>
      <c r="Y852" s="4"/>
      <c r="Z852" s="4"/>
    </row>
    <row r="853" spans="1:26" ht="14.25" customHeight="1" x14ac:dyDescent="0.3">
      <c r="A853" s="35"/>
      <c r="B853" s="4"/>
      <c r="C853" s="4"/>
      <c r="D853" s="4"/>
      <c r="E853" s="4"/>
      <c r="F853" s="4"/>
      <c r="G853" s="4"/>
      <c r="H853" s="4"/>
      <c r="I853" s="4"/>
      <c r="J853" s="18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4"/>
      <c r="X853" s="4"/>
      <c r="Y853" s="4"/>
      <c r="Z853" s="4"/>
    </row>
    <row r="854" spans="1:26" ht="14.25" customHeight="1" x14ac:dyDescent="0.3">
      <c r="A854" s="35"/>
      <c r="B854" s="4"/>
      <c r="C854" s="4"/>
      <c r="D854" s="4"/>
      <c r="E854" s="4"/>
      <c r="F854" s="4"/>
      <c r="G854" s="4"/>
      <c r="H854" s="4"/>
      <c r="I854" s="4"/>
      <c r="J854" s="18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4"/>
      <c r="X854" s="4"/>
      <c r="Y854" s="4"/>
      <c r="Z854" s="4"/>
    </row>
    <row r="855" spans="1:26" ht="14.25" customHeight="1" x14ac:dyDescent="0.3">
      <c r="A855" s="35"/>
      <c r="B855" s="4"/>
      <c r="C855" s="4"/>
      <c r="D855" s="4"/>
      <c r="E855" s="4"/>
      <c r="F855" s="4"/>
      <c r="G855" s="4"/>
      <c r="H855" s="4"/>
      <c r="I855" s="4"/>
      <c r="J855" s="18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4"/>
      <c r="X855" s="4"/>
      <c r="Y855" s="4"/>
      <c r="Z855" s="4"/>
    </row>
    <row r="856" spans="1:26" ht="14.25" customHeight="1" x14ac:dyDescent="0.3">
      <c r="A856" s="35"/>
      <c r="B856" s="4"/>
      <c r="C856" s="4"/>
      <c r="D856" s="4"/>
      <c r="E856" s="4"/>
      <c r="F856" s="4"/>
      <c r="G856" s="4"/>
      <c r="H856" s="4"/>
      <c r="I856" s="4"/>
      <c r="J856" s="18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4"/>
      <c r="X856" s="4"/>
      <c r="Y856" s="4"/>
      <c r="Z856" s="4"/>
    </row>
    <row r="857" spans="1:26" ht="14.25" customHeight="1" x14ac:dyDescent="0.3">
      <c r="A857" s="35"/>
      <c r="B857" s="4"/>
      <c r="C857" s="4"/>
      <c r="D857" s="4"/>
      <c r="E857" s="4"/>
      <c r="F857" s="4"/>
      <c r="G857" s="4"/>
      <c r="H857" s="4"/>
      <c r="I857" s="4"/>
      <c r="J857" s="18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4"/>
      <c r="X857" s="4"/>
      <c r="Y857" s="4"/>
      <c r="Z857" s="4"/>
    </row>
    <row r="858" spans="1:26" ht="14.25" customHeight="1" x14ac:dyDescent="0.3">
      <c r="A858" s="35"/>
      <c r="B858" s="4"/>
      <c r="C858" s="4"/>
      <c r="D858" s="4"/>
      <c r="E858" s="4"/>
      <c r="F858" s="4"/>
      <c r="G858" s="4"/>
      <c r="H858" s="4"/>
      <c r="I858" s="4"/>
      <c r="J858" s="18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4"/>
      <c r="X858" s="4"/>
      <c r="Y858" s="4"/>
      <c r="Z858" s="4"/>
    </row>
    <row r="859" spans="1:26" ht="14.25" customHeight="1" x14ac:dyDescent="0.3">
      <c r="A859" s="35"/>
      <c r="B859" s="4"/>
      <c r="C859" s="4"/>
      <c r="D859" s="4"/>
      <c r="E859" s="4"/>
      <c r="F859" s="4"/>
      <c r="G859" s="4"/>
      <c r="H859" s="4"/>
      <c r="I859" s="4"/>
      <c r="J859" s="18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4"/>
      <c r="X859" s="4"/>
      <c r="Y859" s="4"/>
      <c r="Z859" s="4"/>
    </row>
    <row r="860" spans="1:26" ht="14.25" customHeight="1" x14ac:dyDescent="0.3">
      <c r="A860" s="35"/>
      <c r="B860" s="4"/>
      <c r="C860" s="4"/>
      <c r="D860" s="4"/>
      <c r="E860" s="4"/>
      <c r="F860" s="4"/>
      <c r="G860" s="4"/>
      <c r="H860" s="4"/>
      <c r="I860" s="4"/>
      <c r="J860" s="18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4"/>
      <c r="X860" s="4"/>
      <c r="Y860" s="4"/>
      <c r="Z860" s="4"/>
    </row>
    <row r="861" spans="1:26" ht="14.25" customHeight="1" x14ac:dyDescent="0.3">
      <c r="A861" s="35"/>
      <c r="B861" s="4"/>
      <c r="C861" s="4"/>
      <c r="D861" s="4"/>
      <c r="E861" s="4"/>
      <c r="F861" s="4"/>
      <c r="G861" s="4"/>
      <c r="H861" s="4"/>
      <c r="I861" s="4"/>
      <c r="J861" s="18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4"/>
      <c r="X861" s="4"/>
      <c r="Y861" s="4"/>
      <c r="Z861" s="4"/>
    </row>
    <row r="862" spans="1:26" ht="14.25" customHeight="1" x14ac:dyDescent="0.3">
      <c r="A862" s="35"/>
      <c r="B862" s="4"/>
      <c r="C862" s="4"/>
      <c r="D862" s="4"/>
      <c r="E862" s="4"/>
      <c r="F862" s="4"/>
      <c r="G862" s="4"/>
      <c r="H862" s="4"/>
      <c r="I862" s="4"/>
      <c r="J862" s="18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4"/>
      <c r="X862" s="4"/>
      <c r="Y862" s="4"/>
      <c r="Z862" s="4"/>
    </row>
    <row r="863" spans="1:26" ht="14.25" customHeight="1" x14ac:dyDescent="0.3">
      <c r="A863" s="35"/>
      <c r="B863" s="4"/>
      <c r="C863" s="4"/>
      <c r="D863" s="4"/>
      <c r="E863" s="4"/>
      <c r="F863" s="4"/>
      <c r="G863" s="4"/>
      <c r="H863" s="4"/>
      <c r="I863" s="4"/>
      <c r="J863" s="18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4"/>
      <c r="X863" s="4"/>
      <c r="Y863" s="4"/>
      <c r="Z863" s="4"/>
    </row>
    <row r="864" spans="1:26" ht="14.25" customHeight="1" x14ac:dyDescent="0.3">
      <c r="A864" s="35"/>
      <c r="B864" s="4"/>
      <c r="C864" s="4"/>
      <c r="D864" s="4"/>
      <c r="E864" s="4"/>
      <c r="F864" s="4"/>
      <c r="G864" s="4"/>
      <c r="H864" s="4"/>
      <c r="I864" s="4"/>
      <c r="J864" s="18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4"/>
      <c r="X864" s="4"/>
      <c r="Y864" s="4"/>
      <c r="Z864" s="4"/>
    </row>
    <row r="865" spans="1:26" ht="14.25" customHeight="1" x14ac:dyDescent="0.3">
      <c r="A865" s="35"/>
      <c r="B865" s="4"/>
      <c r="C865" s="4"/>
      <c r="D865" s="4"/>
      <c r="E865" s="4"/>
      <c r="F865" s="4"/>
      <c r="G865" s="4"/>
      <c r="H865" s="4"/>
      <c r="I865" s="4"/>
      <c r="J865" s="18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4"/>
      <c r="X865" s="4"/>
      <c r="Y865" s="4"/>
      <c r="Z865" s="4"/>
    </row>
    <row r="866" spans="1:26" ht="14.25" customHeight="1" x14ac:dyDescent="0.3">
      <c r="A866" s="35"/>
      <c r="B866" s="4"/>
      <c r="C866" s="4"/>
      <c r="D866" s="4"/>
      <c r="E866" s="4"/>
      <c r="F866" s="4"/>
      <c r="G866" s="4"/>
      <c r="H866" s="4"/>
      <c r="I866" s="4"/>
      <c r="J866" s="18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4"/>
      <c r="X866" s="4"/>
      <c r="Y866" s="4"/>
      <c r="Z866" s="4"/>
    </row>
    <row r="867" spans="1:26" ht="14.25" customHeight="1" x14ac:dyDescent="0.3">
      <c r="A867" s="35"/>
      <c r="B867" s="4"/>
      <c r="C867" s="4"/>
      <c r="D867" s="4"/>
      <c r="E867" s="4"/>
      <c r="F867" s="4"/>
      <c r="G867" s="4"/>
      <c r="H867" s="4"/>
      <c r="I867" s="4"/>
      <c r="J867" s="18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4"/>
      <c r="X867" s="4"/>
      <c r="Y867" s="4"/>
      <c r="Z867" s="4"/>
    </row>
    <row r="868" spans="1:26" ht="14.25" customHeight="1" x14ac:dyDescent="0.3">
      <c r="A868" s="35"/>
      <c r="B868" s="4"/>
      <c r="C868" s="4"/>
      <c r="D868" s="4"/>
      <c r="E868" s="4"/>
      <c r="F868" s="4"/>
      <c r="G868" s="4"/>
      <c r="H868" s="4"/>
      <c r="I868" s="4"/>
      <c r="J868" s="18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4"/>
      <c r="X868" s="4"/>
      <c r="Y868" s="4"/>
      <c r="Z868" s="4"/>
    </row>
    <row r="869" spans="1:26" ht="14.25" customHeight="1" x14ac:dyDescent="0.3">
      <c r="A869" s="35"/>
      <c r="B869" s="4"/>
      <c r="C869" s="4"/>
      <c r="D869" s="4"/>
      <c r="E869" s="4"/>
      <c r="F869" s="4"/>
      <c r="G869" s="4"/>
      <c r="H869" s="4"/>
      <c r="I869" s="4"/>
      <c r="J869" s="18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4"/>
      <c r="X869" s="4"/>
      <c r="Y869" s="4"/>
      <c r="Z869" s="4"/>
    </row>
    <row r="870" spans="1:26" ht="14.25" customHeight="1" x14ac:dyDescent="0.3">
      <c r="A870" s="35"/>
      <c r="B870" s="4"/>
      <c r="C870" s="4"/>
      <c r="D870" s="4"/>
      <c r="E870" s="4"/>
      <c r="F870" s="4"/>
      <c r="G870" s="4"/>
      <c r="H870" s="4"/>
      <c r="I870" s="4"/>
      <c r="J870" s="18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4"/>
      <c r="X870" s="4"/>
      <c r="Y870" s="4"/>
      <c r="Z870" s="4"/>
    </row>
    <row r="871" spans="1:26" ht="14.25" customHeight="1" x14ac:dyDescent="0.3">
      <c r="A871" s="35"/>
      <c r="B871" s="4"/>
      <c r="C871" s="4"/>
      <c r="D871" s="4"/>
      <c r="E871" s="4"/>
      <c r="F871" s="4"/>
      <c r="G871" s="4"/>
      <c r="H871" s="4"/>
      <c r="I871" s="4"/>
      <c r="J871" s="18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4"/>
      <c r="X871" s="4"/>
      <c r="Y871" s="4"/>
      <c r="Z871" s="4"/>
    </row>
    <row r="872" spans="1:26" ht="14.25" customHeight="1" x14ac:dyDescent="0.3">
      <c r="A872" s="35"/>
      <c r="B872" s="4"/>
      <c r="C872" s="4"/>
      <c r="D872" s="4"/>
      <c r="E872" s="4"/>
      <c r="F872" s="4"/>
      <c r="G872" s="4"/>
      <c r="H872" s="4"/>
      <c r="I872" s="4"/>
      <c r="J872" s="18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4"/>
      <c r="X872" s="4"/>
      <c r="Y872" s="4"/>
      <c r="Z872" s="4"/>
    </row>
    <row r="873" spans="1:26" ht="14.25" customHeight="1" x14ac:dyDescent="0.3">
      <c r="A873" s="35"/>
      <c r="B873" s="4"/>
      <c r="C873" s="4"/>
      <c r="D873" s="4"/>
      <c r="E873" s="4"/>
      <c r="F873" s="4"/>
      <c r="G873" s="4"/>
      <c r="H873" s="4"/>
      <c r="I873" s="4"/>
      <c r="J873" s="18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4"/>
      <c r="X873" s="4"/>
      <c r="Y873" s="4"/>
      <c r="Z873" s="4"/>
    </row>
    <row r="874" spans="1:26" ht="14.25" customHeight="1" x14ac:dyDescent="0.3">
      <c r="A874" s="35"/>
      <c r="B874" s="4"/>
      <c r="C874" s="4"/>
      <c r="D874" s="4"/>
      <c r="E874" s="4"/>
      <c r="F874" s="4"/>
      <c r="G874" s="4"/>
      <c r="H874" s="4"/>
      <c r="I874" s="4"/>
      <c r="J874" s="18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4"/>
      <c r="X874" s="4"/>
      <c r="Y874" s="4"/>
      <c r="Z874" s="4"/>
    </row>
    <row r="875" spans="1:26" ht="14.25" customHeight="1" x14ac:dyDescent="0.3">
      <c r="A875" s="35"/>
      <c r="B875" s="4"/>
      <c r="C875" s="4"/>
      <c r="D875" s="4"/>
      <c r="E875" s="4"/>
      <c r="F875" s="4"/>
      <c r="G875" s="4"/>
      <c r="H875" s="4"/>
      <c r="I875" s="4"/>
      <c r="J875" s="18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4"/>
      <c r="X875" s="4"/>
      <c r="Y875" s="4"/>
      <c r="Z875" s="4"/>
    </row>
    <row r="876" spans="1:26" ht="14.25" customHeight="1" x14ac:dyDescent="0.3">
      <c r="A876" s="35"/>
      <c r="B876" s="4"/>
      <c r="C876" s="4"/>
      <c r="D876" s="4"/>
      <c r="E876" s="4"/>
      <c r="F876" s="4"/>
      <c r="G876" s="4"/>
      <c r="H876" s="4"/>
      <c r="I876" s="4"/>
      <c r="J876" s="18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4"/>
      <c r="X876" s="4"/>
      <c r="Y876" s="4"/>
      <c r="Z876" s="4"/>
    </row>
    <row r="877" spans="1:26" ht="14.25" customHeight="1" x14ac:dyDescent="0.3">
      <c r="A877" s="35"/>
      <c r="B877" s="4"/>
      <c r="C877" s="4"/>
      <c r="D877" s="4"/>
      <c r="E877" s="4"/>
      <c r="F877" s="4"/>
      <c r="G877" s="4"/>
      <c r="H877" s="4"/>
      <c r="I877" s="4"/>
      <c r="J877" s="18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4"/>
      <c r="X877" s="4"/>
      <c r="Y877" s="4"/>
      <c r="Z877" s="4"/>
    </row>
    <row r="878" spans="1:26" ht="14.25" customHeight="1" x14ac:dyDescent="0.3">
      <c r="A878" s="35"/>
      <c r="B878" s="4"/>
      <c r="C878" s="4"/>
      <c r="D878" s="4"/>
      <c r="E878" s="4"/>
      <c r="F878" s="4"/>
      <c r="G878" s="4"/>
      <c r="H878" s="4"/>
      <c r="I878" s="4"/>
      <c r="J878" s="18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4"/>
      <c r="X878" s="4"/>
      <c r="Y878" s="4"/>
      <c r="Z878" s="4"/>
    </row>
    <row r="879" spans="1:26" ht="14.25" customHeight="1" x14ac:dyDescent="0.3">
      <c r="A879" s="35"/>
      <c r="B879" s="4"/>
      <c r="C879" s="4"/>
      <c r="D879" s="4"/>
      <c r="E879" s="4"/>
      <c r="F879" s="4"/>
      <c r="G879" s="4"/>
      <c r="H879" s="4"/>
      <c r="I879" s="4"/>
      <c r="J879" s="18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4"/>
      <c r="X879" s="4"/>
      <c r="Y879" s="4"/>
      <c r="Z879" s="4"/>
    </row>
    <row r="880" spans="1:26" ht="14.25" customHeight="1" x14ac:dyDescent="0.3">
      <c r="A880" s="35"/>
      <c r="B880" s="4"/>
      <c r="C880" s="4"/>
      <c r="D880" s="4"/>
      <c r="E880" s="4"/>
      <c r="F880" s="4"/>
      <c r="G880" s="4"/>
      <c r="H880" s="4"/>
      <c r="I880" s="4"/>
      <c r="J880" s="18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4"/>
      <c r="X880" s="4"/>
      <c r="Y880" s="4"/>
      <c r="Z880" s="4"/>
    </row>
    <row r="881" spans="1:26" ht="14.25" customHeight="1" x14ac:dyDescent="0.3">
      <c r="A881" s="35"/>
      <c r="B881" s="4"/>
      <c r="C881" s="4"/>
      <c r="D881" s="4"/>
      <c r="E881" s="4"/>
      <c r="F881" s="4"/>
      <c r="G881" s="4"/>
      <c r="H881" s="4"/>
      <c r="I881" s="4"/>
      <c r="J881" s="18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4"/>
      <c r="X881" s="4"/>
      <c r="Y881" s="4"/>
      <c r="Z881" s="4"/>
    </row>
    <row r="882" spans="1:26" ht="14.25" customHeight="1" x14ac:dyDescent="0.3">
      <c r="A882" s="35"/>
      <c r="B882" s="4"/>
      <c r="C882" s="4"/>
      <c r="D882" s="4"/>
      <c r="E882" s="4"/>
      <c r="F882" s="4"/>
      <c r="G882" s="4"/>
      <c r="H882" s="4"/>
      <c r="I882" s="4"/>
      <c r="J882" s="18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4"/>
      <c r="X882" s="4"/>
      <c r="Y882" s="4"/>
      <c r="Z882" s="4"/>
    </row>
    <row r="883" spans="1:26" ht="14.25" customHeight="1" x14ac:dyDescent="0.3">
      <c r="A883" s="35"/>
      <c r="B883" s="4"/>
      <c r="C883" s="4"/>
      <c r="D883" s="4"/>
      <c r="E883" s="4"/>
      <c r="F883" s="4"/>
      <c r="G883" s="4"/>
      <c r="H883" s="4"/>
      <c r="I883" s="4"/>
      <c r="J883" s="18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4"/>
      <c r="X883" s="4"/>
      <c r="Y883" s="4"/>
      <c r="Z883" s="4"/>
    </row>
    <row r="884" spans="1:26" ht="14.25" customHeight="1" x14ac:dyDescent="0.3">
      <c r="A884" s="35"/>
      <c r="B884" s="4"/>
      <c r="C884" s="4"/>
      <c r="D884" s="4"/>
      <c r="E884" s="4"/>
      <c r="F884" s="4"/>
      <c r="G884" s="4"/>
      <c r="H884" s="4"/>
      <c r="I884" s="4"/>
      <c r="J884" s="18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4"/>
      <c r="X884" s="4"/>
      <c r="Y884" s="4"/>
      <c r="Z884" s="4"/>
    </row>
    <row r="885" spans="1:26" ht="14.25" customHeight="1" x14ac:dyDescent="0.3">
      <c r="A885" s="35"/>
      <c r="B885" s="4"/>
      <c r="C885" s="4"/>
      <c r="D885" s="4"/>
      <c r="E885" s="4"/>
      <c r="F885" s="4"/>
      <c r="G885" s="4"/>
      <c r="H885" s="4"/>
      <c r="I885" s="4"/>
      <c r="J885" s="18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4"/>
      <c r="X885" s="4"/>
      <c r="Y885" s="4"/>
      <c r="Z885" s="4"/>
    </row>
    <row r="886" spans="1:26" ht="14.25" customHeight="1" x14ac:dyDescent="0.3">
      <c r="A886" s="35"/>
      <c r="B886" s="4"/>
      <c r="C886" s="4"/>
      <c r="D886" s="4"/>
      <c r="E886" s="4"/>
      <c r="F886" s="4"/>
      <c r="G886" s="4"/>
      <c r="H886" s="4"/>
      <c r="I886" s="4"/>
      <c r="J886" s="18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4"/>
      <c r="X886" s="4"/>
      <c r="Y886" s="4"/>
      <c r="Z886" s="4"/>
    </row>
    <row r="887" spans="1:26" ht="14.25" customHeight="1" x14ac:dyDescent="0.3">
      <c r="A887" s="35"/>
      <c r="B887" s="4"/>
      <c r="C887" s="4"/>
      <c r="D887" s="4"/>
      <c r="E887" s="4"/>
      <c r="F887" s="4"/>
      <c r="G887" s="4"/>
      <c r="H887" s="4"/>
      <c r="I887" s="4"/>
      <c r="J887" s="18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4"/>
      <c r="X887" s="4"/>
      <c r="Y887" s="4"/>
      <c r="Z887" s="4"/>
    </row>
    <row r="888" spans="1:26" ht="14.25" customHeight="1" x14ac:dyDescent="0.3">
      <c r="A888" s="35"/>
      <c r="B888" s="4"/>
      <c r="C888" s="4"/>
      <c r="D888" s="4"/>
      <c r="E888" s="4"/>
      <c r="F888" s="4"/>
      <c r="G888" s="4"/>
      <c r="H888" s="4"/>
      <c r="I888" s="4"/>
      <c r="J888" s="18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4"/>
      <c r="X888" s="4"/>
      <c r="Y888" s="4"/>
      <c r="Z888" s="4"/>
    </row>
    <row r="889" spans="1:26" ht="14.25" customHeight="1" x14ac:dyDescent="0.3">
      <c r="A889" s="35"/>
      <c r="B889" s="4"/>
      <c r="C889" s="4"/>
      <c r="D889" s="4"/>
      <c r="E889" s="4"/>
      <c r="F889" s="4"/>
      <c r="G889" s="4"/>
      <c r="H889" s="4"/>
      <c r="I889" s="4"/>
      <c r="J889" s="18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4"/>
      <c r="X889" s="4"/>
      <c r="Y889" s="4"/>
      <c r="Z889" s="4"/>
    </row>
    <row r="890" spans="1:26" ht="14.25" customHeight="1" x14ac:dyDescent="0.3">
      <c r="A890" s="35"/>
      <c r="B890" s="4"/>
      <c r="C890" s="4"/>
      <c r="D890" s="4"/>
      <c r="E890" s="4"/>
      <c r="F890" s="4"/>
      <c r="G890" s="4"/>
      <c r="H890" s="4"/>
      <c r="I890" s="4"/>
      <c r="J890" s="18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4"/>
      <c r="X890" s="4"/>
      <c r="Y890" s="4"/>
      <c r="Z890" s="4"/>
    </row>
    <row r="891" spans="1:26" ht="14.25" customHeight="1" x14ac:dyDescent="0.3">
      <c r="A891" s="35"/>
      <c r="B891" s="4"/>
      <c r="C891" s="4"/>
      <c r="D891" s="4"/>
      <c r="E891" s="4"/>
      <c r="F891" s="4"/>
      <c r="G891" s="4"/>
      <c r="H891" s="4"/>
      <c r="I891" s="4"/>
      <c r="J891" s="18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4"/>
      <c r="X891" s="4"/>
      <c r="Y891" s="4"/>
      <c r="Z891" s="4"/>
    </row>
    <row r="892" spans="1:26" ht="14.25" customHeight="1" x14ac:dyDescent="0.3">
      <c r="A892" s="35"/>
      <c r="B892" s="4"/>
      <c r="C892" s="4"/>
      <c r="D892" s="4"/>
      <c r="E892" s="4"/>
      <c r="F892" s="4"/>
      <c r="G892" s="4"/>
      <c r="H892" s="4"/>
      <c r="I892" s="4"/>
      <c r="J892" s="18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4"/>
      <c r="X892" s="4"/>
      <c r="Y892" s="4"/>
      <c r="Z892" s="4"/>
    </row>
    <row r="893" spans="1:26" ht="14.25" customHeight="1" x14ac:dyDescent="0.3">
      <c r="A893" s="35"/>
      <c r="B893" s="4"/>
      <c r="C893" s="4"/>
      <c r="D893" s="4"/>
      <c r="E893" s="4"/>
      <c r="F893" s="4"/>
      <c r="G893" s="4"/>
      <c r="H893" s="4"/>
      <c r="I893" s="4"/>
      <c r="J893" s="18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4"/>
      <c r="X893" s="4"/>
      <c r="Y893" s="4"/>
      <c r="Z893" s="4"/>
    </row>
    <row r="894" spans="1:26" ht="14.25" customHeight="1" x14ac:dyDescent="0.3">
      <c r="A894" s="35"/>
      <c r="B894" s="4"/>
      <c r="C894" s="4"/>
      <c r="D894" s="4"/>
      <c r="E894" s="4"/>
      <c r="F894" s="4"/>
      <c r="G894" s="4"/>
      <c r="H894" s="4"/>
      <c r="I894" s="4"/>
      <c r="J894" s="18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4"/>
      <c r="X894" s="4"/>
      <c r="Y894" s="4"/>
      <c r="Z894" s="4"/>
    </row>
    <row r="895" spans="1:26" ht="14.25" customHeight="1" x14ac:dyDescent="0.3">
      <c r="A895" s="35"/>
      <c r="B895" s="4"/>
      <c r="C895" s="4"/>
      <c r="D895" s="4"/>
      <c r="E895" s="4"/>
      <c r="F895" s="4"/>
      <c r="G895" s="4"/>
      <c r="H895" s="4"/>
      <c r="I895" s="4"/>
      <c r="J895" s="18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4"/>
      <c r="X895" s="4"/>
      <c r="Y895" s="4"/>
      <c r="Z895" s="4"/>
    </row>
    <row r="896" spans="1:26" ht="14.25" customHeight="1" x14ac:dyDescent="0.3">
      <c r="A896" s="35"/>
      <c r="B896" s="4"/>
      <c r="C896" s="4"/>
      <c r="D896" s="4"/>
      <c r="E896" s="4"/>
      <c r="F896" s="4"/>
      <c r="G896" s="4"/>
      <c r="H896" s="4"/>
      <c r="I896" s="4"/>
      <c r="J896" s="18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4"/>
      <c r="X896" s="4"/>
      <c r="Y896" s="4"/>
      <c r="Z896" s="4"/>
    </row>
    <row r="897" spans="1:26" ht="14.25" customHeight="1" x14ac:dyDescent="0.3">
      <c r="A897" s="35"/>
      <c r="B897" s="4"/>
      <c r="C897" s="4"/>
      <c r="D897" s="4"/>
      <c r="E897" s="4"/>
      <c r="F897" s="4"/>
      <c r="G897" s="4"/>
      <c r="H897" s="4"/>
      <c r="I897" s="4"/>
      <c r="J897" s="18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4"/>
      <c r="X897" s="4"/>
      <c r="Y897" s="4"/>
      <c r="Z897" s="4"/>
    </row>
    <row r="898" spans="1:26" ht="14.25" customHeight="1" x14ac:dyDescent="0.3">
      <c r="A898" s="35"/>
      <c r="B898" s="4"/>
      <c r="C898" s="4"/>
      <c r="D898" s="4"/>
      <c r="E898" s="4"/>
      <c r="F898" s="4"/>
      <c r="G898" s="4"/>
      <c r="H898" s="4"/>
      <c r="I898" s="4"/>
      <c r="J898" s="18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4"/>
      <c r="X898" s="4"/>
      <c r="Y898" s="4"/>
      <c r="Z898" s="4"/>
    </row>
    <row r="899" spans="1:26" ht="14.25" customHeight="1" x14ac:dyDescent="0.3">
      <c r="A899" s="35"/>
      <c r="B899" s="4"/>
      <c r="C899" s="4"/>
      <c r="D899" s="4"/>
      <c r="E899" s="4"/>
      <c r="F899" s="4"/>
      <c r="G899" s="4"/>
      <c r="H899" s="4"/>
      <c r="I899" s="4"/>
      <c r="J899" s="18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4"/>
      <c r="X899" s="4"/>
      <c r="Y899" s="4"/>
      <c r="Z899" s="4"/>
    </row>
    <row r="900" spans="1:26" ht="14.25" customHeight="1" x14ac:dyDescent="0.3">
      <c r="A900" s="35"/>
      <c r="B900" s="4"/>
      <c r="C900" s="4"/>
      <c r="D900" s="4"/>
      <c r="E900" s="4"/>
      <c r="F900" s="4"/>
      <c r="G900" s="4"/>
      <c r="H900" s="4"/>
      <c r="I900" s="4"/>
      <c r="J900" s="18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4"/>
      <c r="X900" s="4"/>
      <c r="Y900" s="4"/>
      <c r="Z900" s="4"/>
    </row>
    <row r="901" spans="1:26" ht="14.25" customHeight="1" x14ac:dyDescent="0.3">
      <c r="A901" s="35"/>
      <c r="B901" s="4"/>
      <c r="C901" s="4"/>
      <c r="D901" s="4"/>
      <c r="E901" s="4"/>
      <c r="F901" s="4"/>
      <c r="G901" s="4"/>
      <c r="H901" s="4"/>
      <c r="I901" s="4"/>
      <c r="J901" s="18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4"/>
      <c r="X901" s="4"/>
      <c r="Y901" s="4"/>
      <c r="Z901" s="4"/>
    </row>
    <row r="902" spans="1:26" ht="14.25" customHeight="1" x14ac:dyDescent="0.3">
      <c r="A902" s="35"/>
      <c r="B902" s="4"/>
      <c r="C902" s="4"/>
      <c r="D902" s="4"/>
      <c r="E902" s="4"/>
      <c r="F902" s="4"/>
      <c r="G902" s="4"/>
      <c r="H902" s="4"/>
      <c r="I902" s="4"/>
      <c r="J902" s="18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4"/>
      <c r="X902" s="4"/>
      <c r="Y902" s="4"/>
      <c r="Z902" s="4"/>
    </row>
    <row r="903" spans="1:26" ht="14.25" customHeight="1" x14ac:dyDescent="0.3">
      <c r="A903" s="35"/>
      <c r="B903" s="4"/>
      <c r="C903" s="4"/>
      <c r="D903" s="4"/>
      <c r="E903" s="4"/>
      <c r="F903" s="4"/>
      <c r="G903" s="4"/>
      <c r="H903" s="4"/>
      <c r="I903" s="4"/>
      <c r="J903" s="18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4"/>
      <c r="X903" s="4"/>
      <c r="Y903" s="4"/>
      <c r="Z903" s="4"/>
    </row>
    <row r="904" spans="1:26" ht="14.25" customHeight="1" x14ac:dyDescent="0.3">
      <c r="A904" s="35"/>
      <c r="B904" s="4"/>
      <c r="C904" s="4"/>
      <c r="D904" s="4"/>
      <c r="E904" s="4"/>
      <c r="F904" s="4"/>
      <c r="G904" s="4"/>
      <c r="H904" s="4"/>
      <c r="I904" s="4"/>
      <c r="J904" s="18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4"/>
      <c r="X904" s="4"/>
      <c r="Y904" s="4"/>
      <c r="Z904" s="4"/>
    </row>
    <row r="905" spans="1:26" ht="14.25" customHeight="1" x14ac:dyDescent="0.3">
      <c r="A905" s="35"/>
      <c r="B905" s="4"/>
      <c r="C905" s="4"/>
      <c r="D905" s="4"/>
      <c r="E905" s="4"/>
      <c r="F905" s="4"/>
      <c r="G905" s="4"/>
      <c r="H905" s="4"/>
      <c r="I905" s="4"/>
      <c r="J905" s="18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4"/>
      <c r="X905" s="4"/>
      <c r="Y905" s="4"/>
      <c r="Z905" s="4"/>
    </row>
    <row r="906" spans="1:26" ht="14.25" customHeight="1" x14ac:dyDescent="0.3">
      <c r="A906" s="35"/>
      <c r="B906" s="4"/>
      <c r="C906" s="4"/>
      <c r="D906" s="4"/>
      <c r="E906" s="4"/>
      <c r="F906" s="4"/>
      <c r="G906" s="4"/>
      <c r="H906" s="4"/>
      <c r="I906" s="4"/>
      <c r="J906" s="18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4"/>
      <c r="X906" s="4"/>
      <c r="Y906" s="4"/>
      <c r="Z906" s="4"/>
    </row>
    <row r="907" spans="1:26" ht="14.25" customHeight="1" x14ac:dyDescent="0.3">
      <c r="A907" s="35"/>
      <c r="B907" s="4"/>
      <c r="C907" s="4"/>
      <c r="D907" s="4"/>
      <c r="E907" s="4"/>
      <c r="F907" s="4"/>
      <c r="G907" s="4"/>
      <c r="H907" s="4"/>
      <c r="I907" s="4"/>
      <c r="J907" s="18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4"/>
      <c r="X907" s="4"/>
      <c r="Y907" s="4"/>
      <c r="Z907" s="4"/>
    </row>
    <row r="908" spans="1:26" ht="14.25" customHeight="1" x14ac:dyDescent="0.3">
      <c r="A908" s="35"/>
      <c r="B908" s="4"/>
      <c r="C908" s="4"/>
      <c r="D908" s="4"/>
      <c r="E908" s="4"/>
      <c r="F908" s="4"/>
      <c r="G908" s="4"/>
      <c r="H908" s="4"/>
      <c r="I908" s="4"/>
      <c r="J908" s="18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4"/>
      <c r="X908" s="4"/>
      <c r="Y908" s="4"/>
      <c r="Z908" s="4"/>
    </row>
    <row r="909" spans="1:26" ht="14.25" customHeight="1" x14ac:dyDescent="0.3">
      <c r="A909" s="35"/>
      <c r="B909" s="4"/>
      <c r="C909" s="4"/>
      <c r="D909" s="4"/>
      <c r="E909" s="4"/>
      <c r="F909" s="4"/>
      <c r="G909" s="4"/>
      <c r="H909" s="4"/>
      <c r="I909" s="4"/>
      <c r="J909" s="18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4"/>
      <c r="X909" s="4"/>
      <c r="Y909" s="4"/>
      <c r="Z909" s="4"/>
    </row>
    <row r="910" spans="1:26" ht="14.25" customHeight="1" x14ac:dyDescent="0.3">
      <c r="A910" s="35"/>
      <c r="B910" s="4"/>
      <c r="C910" s="4"/>
      <c r="D910" s="4"/>
      <c r="E910" s="4"/>
      <c r="F910" s="4"/>
      <c r="G910" s="4"/>
      <c r="H910" s="4"/>
      <c r="I910" s="4"/>
      <c r="J910" s="18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4"/>
      <c r="X910" s="4"/>
      <c r="Y910" s="4"/>
      <c r="Z910" s="4"/>
    </row>
    <row r="911" spans="1:26" ht="14.25" customHeight="1" x14ac:dyDescent="0.3">
      <c r="A911" s="35"/>
      <c r="B911" s="4"/>
      <c r="C911" s="4"/>
      <c r="D911" s="4"/>
      <c r="E911" s="4"/>
      <c r="F911" s="4"/>
      <c r="G911" s="4"/>
      <c r="H911" s="4"/>
      <c r="I911" s="4"/>
      <c r="J911" s="18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4"/>
      <c r="X911" s="4"/>
      <c r="Y911" s="4"/>
      <c r="Z911" s="4"/>
    </row>
    <row r="912" spans="1:26" ht="14.25" customHeight="1" x14ac:dyDescent="0.3">
      <c r="A912" s="35"/>
      <c r="B912" s="4"/>
      <c r="C912" s="4"/>
      <c r="D912" s="4"/>
      <c r="E912" s="4"/>
      <c r="F912" s="4"/>
      <c r="G912" s="4"/>
      <c r="H912" s="4"/>
      <c r="I912" s="4"/>
      <c r="J912" s="18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4"/>
      <c r="X912" s="4"/>
      <c r="Y912" s="4"/>
      <c r="Z912" s="4"/>
    </row>
    <row r="913" spans="1:26" ht="14.25" customHeight="1" x14ac:dyDescent="0.3">
      <c r="A913" s="35"/>
      <c r="B913" s="4"/>
      <c r="C913" s="4"/>
      <c r="D913" s="4"/>
      <c r="E913" s="4"/>
      <c r="F913" s="4"/>
      <c r="G913" s="4"/>
      <c r="H913" s="4"/>
      <c r="I913" s="4"/>
      <c r="J913" s="18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4"/>
      <c r="X913" s="4"/>
      <c r="Y913" s="4"/>
      <c r="Z913" s="4"/>
    </row>
    <row r="914" spans="1:26" ht="14.25" customHeight="1" x14ac:dyDescent="0.3">
      <c r="A914" s="35"/>
      <c r="B914" s="4"/>
      <c r="C914" s="4"/>
      <c r="D914" s="4"/>
      <c r="E914" s="4"/>
      <c r="F914" s="4"/>
      <c r="G914" s="4"/>
      <c r="H914" s="4"/>
      <c r="I914" s="4"/>
      <c r="J914" s="18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4"/>
      <c r="X914" s="4"/>
      <c r="Y914" s="4"/>
      <c r="Z914" s="4"/>
    </row>
    <row r="915" spans="1:26" ht="14.25" customHeight="1" x14ac:dyDescent="0.3">
      <c r="A915" s="35"/>
      <c r="B915" s="4"/>
      <c r="C915" s="4"/>
      <c r="D915" s="4"/>
      <c r="E915" s="4"/>
      <c r="F915" s="4"/>
      <c r="G915" s="4"/>
      <c r="H915" s="4"/>
      <c r="I915" s="4"/>
      <c r="J915" s="18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4"/>
      <c r="X915" s="4"/>
      <c r="Y915" s="4"/>
      <c r="Z915" s="4"/>
    </row>
    <row r="916" spans="1:26" ht="14.25" customHeight="1" x14ac:dyDescent="0.3">
      <c r="A916" s="35"/>
      <c r="B916" s="4"/>
      <c r="C916" s="4"/>
      <c r="D916" s="4"/>
      <c r="E916" s="4"/>
      <c r="F916" s="4"/>
      <c r="G916" s="4"/>
      <c r="H916" s="4"/>
      <c r="I916" s="4"/>
      <c r="J916" s="18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4"/>
      <c r="X916" s="4"/>
      <c r="Y916" s="4"/>
      <c r="Z916" s="4"/>
    </row>
    <row r="917" spans="1:26" ht="14.25" customHeight="1" x14ac:dyDescent="0.3">
      <c r="A917" s="35"/>
      <c r="B917" s="4"/>
      <c r="C917" s="4"/>
      <c r="D917" s="4"/>
      <c r="E917" s="4"/>
      <c r="F917" s="4"/>
      <c r="G917" s="4"/>
      <c r="H917" s="4"/>
      <c r="I917" s="4"/>
      <c r="J917" s="18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4"/>
      <c r="X917" s="4"/>
      <c r="Y917" s="4"/>
      <c r="Z917" s="4"/>
    </row>
    <row r="918" spans="1:26" ht="14.25" customHeight="1" x14ac:dyDescent="0.3">
      <c r="A918" s="35"/>
      <c r="B918" s="4"/>
      <c r="C918" s="4"/>
      <c r="D918" s="4"/>
      <c r="E918" s="4"/>
      <c r="F918" s="4"/>
      <c r="G918" s="4"/>
      <c r="H918" s="4"/>
      <c r="I918" s="4"/>
      <c r="J918" s="18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4"/>
      <c r="X918" s="4"/>
      <c r="Y918" s="4"/>
      <c r="Z918" s="4"/>
    </row>
    <row r="919" spans="1:26" ht="14.25" customHeight="1" x14ac:dyDescent="0.3">
      <c r="A919" s="35"/>
      <c r="B919" s="4"/>
      <c r="C919" s="4"/>
      <c r="D919" s="4"/>
      <c r="E919" s="4"/>
      <c r="F919" s="4"/>
      <c r="G919" s="4"/>
      <c r="H919" s="4"/>
      <c r="I919" s="4"/>
      <c r="J919" s="18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4"/>
      <c r="X919" s="4"/>
      <c r="Y919" s="4"/>
      <c r="Z919" s="4"/>
    </row>
    <row r="920" spans="1:26" ht="14.25" customHeight="1" x14ac:dyDescent="0.3">
      <c r="A920" s="35"/>
      <c r="B920" s="4"/>
      <c r="C920" s="4"/>
      <c r="D920" s="4"/>
      <c r="E920" s="4"/>
      <c r="F920" s="4"/>
      <c r="G920" s="4"/>
      <c r="H920" s="4"/>
      <c r="I920" s="4"/>
      <c r="J920" s="18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4"/>
      <c r="X920" s="4"/>
      <c r="Y920" s="4"/>
      <c r="Z920" s="4"/>
    </row>
    <row r="921" spans="1:26" ht="14.25" customHeight="1" x14ac:dyDescent="0.3">
      <c r="A921" s="35"/>
      <c r="B921" s="4"/>
      <c r="C921" s="4"/>
      <c r="D921" s="4"/>
      <c r="E921" s="4"/>
      <c r="F921" s="4"/>
      <c r="G921" s="4"/>
      <c r="H921" s="4"/>
      <c r="I921" s="4"/>
      <c r="J921" s="18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4"/>
      <c r="X921" s="4"/>
      <c r="Y921" s="4"/>
      <c r="Z921" s="4"/>
    </row>
    <row r="922" spans="1:26" ht="14.25" customHeight="1" x14ac:dyDescent="0.3">
      <c r="A922" s="35"/>
      <c r="B922" s="4"/>
      <c r="C922" s="4"/>
      <c r="D922" s="4"/>
      <c r="E922" s="4"/>
      <c r="F922" s="4"/>
      <c r="G922" s="4"/>
      <c r="H922" s="4"/>
      <c r="I922" s="4"/>
      <c r="J922" s="18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4"/>
      <c r="X922" s="4"/>
      <c r="Y922" s="4"/>
      <c r="Z922" s="4"/>
    </row>
    <row r="923" spans="1:26" ht="14.25" customHeight="1" x14ac:dyDescent="0.3">
      <c r="A923" s="35"/>
      <c r="B923" s="4"/>
      <c r="C923" s="4"/>
      <c r="D923" s="4"/>
      <c r="E923" s="4"/>
      <c r="F923" s="4"/>
      <c r="G923" s="4"/>
      <c r="H923" s="4"/>
      <c r="I923" s="4"/>
      <c r="J923" s="18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4"/>
      <c r="X923" s="4"/>
      <c r="Y923" s="4"/>
      <c r="Z923" s="4"/>
    </row>
    <row r="924" spans="1:26" ht="14.25" customHeight="1" x14ac:dyDescent="0.3">
      <c r="A924" s="35"/>
      <c r="B924" s="4"/>
      <c r="C924" s="4"/>
      <c r="D924" s="4"/>
      <c r="E924" s="4"/>
      <c r="F924" s="4"/>
      <c r="G924" s="4"/>
      <c r="H924" s="4"/>
      <c r="I924" s="4"/>
      <c r="J924" s="18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4"/>
      <c r="X924" s="4"/>
      <c r="Y924" s="4"/>
      <c r="Z924" s="4"/>
    </row>
    <row r="925" spans="1:26" ht="14.25" customHeight="1" x14ac:dyDescent="0.3">
      <c r="A925" s="35"/>
      <c r="B925" s="4"/>
      <c r="C925" s="4"/>
      <c r="D925" s="4"/>
      <c r="E925" s="4"/>
      <c r="F925" s="4"/>
      <c r="G925" s="4"/>
      <c r="H925" s="4"/>
      <c r="I925" s="4"/>
      <c r="J925" s="18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4"/>
      <c r="X925" s="4"/>
      <c r="Y925" s="4"/>
      <c r="Z925" s="4"/>
    </row>
    <row r="926" spans="1:26" ht="14.25" customHeight="1" x14ac:dyDescent="0.3">
      <c r="A926" s="35"/>
      <c r="B926" s="4"/>
      <c r="C926" s="4"/>
      <c r="D926" s="4"/>
      <c r="E926" s="4"/>
      <c r="F926" s="4"/>
      <c r="G926" s="4"/>
      <c r="H926" s="4"/>
      <c r="I926" s="4"/>
      <c r="J926" s="18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4"/>
      <c r="X926" s="4"/>
      <c r="Y926" s="4"/>
      <c r="Z926" s="4"/>
    </row>
    <row r="927" spans="1:26" ht="14.25" customHeight="1" x14ac:dyDescent="0.3">
      <c r="A927" s="35"/>
      <c r="B927" s="4"/>
      <c r="C927" s="4"/>
      <c r="D927" s="4"/>
      <c r="E927" s="4"/>
      <c r="F927" s="4"/>
      <c r="G927" s="4"/>
      <c r="H927" s="4"/>
      <c r="I927" s="4"/>
      <c r="J927" s="18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4"/>
      <c r="X927" s="4"/>
      <c r="Y927" s="4"/>
      <c r="Z927" s="4"/>
    </row>
    <row r="928" spans="1:26" ht="14.25" customHeight="1" x14ac:dyDescent="0.3">
      <c r="A928" s="35"/>
      <c r="B928" s="4"/>
      <c r="C928" s="4"/>
      <c r="D928" s="4"/>
      <c r="E928" s="4"/>
      <c r="F928" s="4"/>
      <c r="G928" s="4"/>
      <c r="H928" s="4"/>
      <c r="I928" s="4"/>
      <c r="J928" s="18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4"/>
      <c r="X928" s="4"/>
      <c r="Y928" s="4"/>
      <c r="Z928" s="4"/>
    </row>
    <row r="929" spans="1:26" ht="14.25" customHeight="1" x14ac:dyDescent="0.3">
      <c r="A929" s="35"/>
      <c r="B929" s="4"/>
      <c r="C929" s="4"/>
      <c r="D929" s="4"/>
      <c r="E929" s="4"/>
      <c r="F929" s="4"/>
      <c r="G929" s="4"/>
      <c r="H929" s="4"/>
      <c r="I929" s="4"/>
      <c r="J929" s="18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4"/>
      <c r="X929" s="4"/>
      <c r="Y929" s="4"/>
      <c r="Z929" s="4"/>
    </row>
    <row r="930" spans="1:26" ht="14.25" customHeight="1" x14ac:dyDescent="0.3">
      <c r="A930" s="35"/>
      <c r="B930" s="4"/>
      <c r="C930" s="4"/>
      <c r="D930" s="4"/>
      <c r="E930" s="4"/>
      <c r="F930" s="4"/>
      <c r="G930" s="4"/>
      <c r="H930" s="4"/>
      <c r="I930" s="4"/>
      <c r="J930" s="18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4"/>
      <c r="X930" s="4"/>
      <c r="Y930" s="4"/>
      <c r="Z930" s="4"/>
    </row>
    <row r="931" spans="1:26" ht="14.25" customHeight="1" x14ac:dyDescent="0.3">
      <c r="A931" s="35"/>
      <c r="B931" s="4"/>
      <c r="C931" s="4"/>
      <c r="D931" s="4"/>
      <c r="E931" s="4"/>
      <c r="F931" s="4"/>
      <c r="G931" s="4"/>
      <c r="H931" s="4"/>
      <c r="I931" s="4"/>
      <c r="J931" s="18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4"/>
      <c r="X931" s="4"/>
      <c r="Y931" s="4"/>
      <c r="Z931" s="4"/>
    </row>
    <row r="932" spans="1:26" ht="14.25" customHeight="1" x14ac:dyDescent="0.3">
      <c r="A932" s="35"/>
      <c r="B932" s="4"/>
      <c r="C932" s="4"/>
      <c r="D932" s="4"/>
      <c r="E932" s="4"/>
      <c r="F932" s="4"/>
      <c r="G932" s="4"/>
      <c r="H932" s="4"/>
      <c r="I932" s="4"/>
      <c r="J932" s="18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4"/>
      <c r="X932" s="4"/>
      <c r="Y932" s="4"/>
      <c r="Z932" s="4"/>
    </row>
    <row r="933" spans="1:26" ht="14.25" customHeight="1" x14ac:dyDescent="0.3">
      <c r="A933" s="35"/>
      <c r="B933" s="4"/>
      <c r="C933" s="4"/>
      <c r="D933" s="4"/>
      <c r="E933" s="4"/>
      <c r="F933" s="4"/>
      <c r="G933" s="4"/>
      <c r="H933" s="4"/>
      <c r="I933" s="4"/>
      <c r="J933" s="18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4"/>
      <c r="X933" s="4"/>
      <c r="Y933" s="4"/>
      <c r="Z933" s="4"/>
    </row>
    <row r="934" spans="1:26" ht="14.25" customHeight="1" x14ac:dyDescent="0.3">
      <c r="A934" s="35"/>
      <c r="B934" s="4"/>
      <c r="C934" s="4"/>
      <c r="D934" s="4"/>
      <c r="E934" s="4"/>
      <c r="F934" s="4"/>
      <c r="G934" s="4"/>
      <c r="H934" s="4"/>
      <c r="I934" s="4"/>
      <c r="J934" s="18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4"/>
      <c r="X934" s="4"/>
      <c r="Y934" s="4"/>
      <c r="Z934" s="4"/>
    </row>
    <row r="935" spans="1:26" ht="14.25" customHeight="1" x14ac:dyDescent="0.3">
      <c r="A935" s="35"/>
      <c r="B935" s="4"/>
      <c r="C935" s="4"/>
      <c r="D935" s="4"/>
      <c r="E935" s="4"/>
      <c r="F935" s="4"/>
      <c r="G935" s="4"/>
      <c r="H935" s="4"/>
      <c r="I935" s="4"/>
      <c r="J935" s="18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4"/>
      <c r="X935" s="4"/>
      <c r="Y935" s="4"/>
      <c r="Z935" s="4"/>
    </row>
    <row r="936" spans="1:26" ht="14.25" customHeight="1" x14ac:dyDescent="0.3">
      <c r="A936" s="35"/>
      <c r="B936" s="4"/>
      <c r="C936" s="4"/>
      <c r="D936" s="4"/>
      <c r="E936" s="4"/>
      <c r="F936" s="4"/>
      <c r="G936" s="4"/>
      <c r="H936" s="4"/>
      <c r="I936" s="4"/>
      <c r="J936" s="18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4"/>
      <c r="X936" s="4"/>
      <c r="Y936" s="4"/>
      <c r="Z936" s="4"/>
    </row>
    <row r="937" spans="1:26" ht="14.25" customHeight="1" x14ac:dyDescent="0.3">
      <c r="A937" s="35"/>
      <c r="B937" s="4"/>
      <c r="C937" s="4"/>
      <c r="D937" s="4"/>
      <c r="E937" s="4"/>
      <c r="F937" s="4"/>
      <c r="G937" s="4"/>
      <c r="H937" s="4"/>
      <c r="I937" s="4"/>
      <c r="J937" s="18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4"/>
      <c r="X937" s="4"/>
      <c r="Y937" s="4"/>
      <c r="Z937" s="4"/>
    </row>
    <row r="938" spans="1:26" ht="14.25" customHeight="1" x14ac:dyDescent="0.3">
      <c r="A938" s="35"/>
      <c r="B938" s="4"/>
      <c r="C938" s="4"/>
      <c r="D938" s="4"/>
      <c r="E938" s="4"/>
      <c r="F938" s="4"/>
      <c r="G938" s="4"/>
      <c r="H938" s="4"/>
      <c r="I938" s="4"/>
      <c r="J938" s="18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4"/>
      <c r="X938" s="4"/>
      <c r="Y938" s="4"/>
      <c r="Z938" s="4"/>
    </row>
    <row r="939" spans="1:26" ht="14.25" customHeight="1" x14ac:dyDescent="0.3">
      <c r="A939" s="35"/>
      <c r="B939" s="4"/>
      <c r="C939" s="4"/>
      <c r="D939" s="4"/>
      <c r="E939" s="4"/>
      <c r="F939" s="4"/>
      <c r="G939" s="4"/>
      <c r="H939" s="4"/>
      <c r="I939" s="4"/>
      <c r="J939" s="18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4"/>
      <c r="X939" s="4"/>
      <c r="Y939" s="4"/>
      <c r="Z939" s="4"/>
    </row>
    <row r="940" spans="1:26" ht="14.25" customHeight="1" x14ac:dyDescent="0.3">
      <c r="A940" s="35"/>
      <c r="B940" s="4"/>
      <c r="C940" s="4"/>
      <c r="D940" s="4"/>
      <c r="E940" s="4"/>
      <c r="F940" s="4"/>
      <c r="G940" s="4"/>
      <c r="H940" s="4"/>
      <c r="I940" s="4"/>
      <c r="J940" s="18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4"/>
      <c r="X940" s="4"/>
      <c r="Y940" s="4"/>
      <c r="Z940" s="4"/>
    </row>
    <row r="941" spans="1:26" ht="14.25" customHeight="1" x14ac:dyDescent="0.3">
      <c r="A941" s="35"/>
      <c r="B941" s="4"/>
      <c r="C941" s="4"/>
      <c r="D941" s="4"/>
      <c r="E941" s="4"/>
      <c r="F941" s="4"/>
      <c r="G941" s="4"/>
      <c r="H941" s="4"/>
      <c r="I941" s="4"/>
      <c r="J941" s="18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4"/>
      <c r="X941" s="4"/>
      <c r="Y941" s="4"/>
      <c r="Z941" s="4"/>
    </row>
    <row r="942" spans="1:26" ht="14.25" customHeight="1" x14ac:dyDescent="0.3">
      <c r="A942" s="35"/>
      <c r="B942" s="4"/>
      <c r="C942" s="4"/>
      <c r="D942" s="4"/>
      <c r="E942" s="4"/>
      <c r="F942" s="4"/>
      <c r="G942" s="4"/>
      <c r="H942" s="4"/>
      <c r="I942" s="4"/>
      <c r="J942" s="18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4"/>
      <c r="X942" s="4"/>
      <c r="Y942" s="4"/>
      <c r="Z942" s="4"/>
    </row>
    <row r="943" spans="1:26" ht="14.25" customHeight="1" x14ac:dyDescent="0.3">
      <c r="A943" s="35"/>
      <c r="B943" s="4"/>
      <c r="C943" s="4"/>
      <c r="D943" s="4"/>
      <c r="E943" s="4"/>
      <c r="F943" s="4"/>
      <c r="G943" s="4"/>
      <c r="H943" s="4"/>
      <c r="I943" s="4"/>
      <c r="J943" s="18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4"/>
      <c r="X943" s="4"/>
      <c r="Y943" s="4"/>
      <c r="Z943" s="4"/>
    </row>
    <row r="944" spans="1:26" ht="14.25" customHeight="1" x14ac:dyDescent="0.3">
      <c r="A944" s="35"/>
      <c r="B944" s="4"/>
      <c r="C944" s="4"/>
      <c r="D944" s="4"/>
      <c r="E944" s="4"/>
      <c r="F944" s="4"/>
      <c r="G944" s="4"/>
      <c r="H944" s="4"/>
      <c r="I944" s="4"/>
      <c r="J944" s="18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4"/>
      <c r="X944" s="4"/>
      <c r="Y944" s="4"/>
      <c r="Z944" s="4"/>
    </row>
    <row r="945" spans="1:26" ht="14.25" customHeight="1" x14ac:dyDescent="0.3">
      <c r="A945" s="35"/>
      <c r="B945" s="4"/>
      <c r="C945" s="4"/>
      <c r="D945" s="4"/>
      <c r="E945" s="4"/>
      <c r="F945" s="4"/>
      <c r="G945" s="4"/>
      <c r="H945" s="4"/>
      <c r="I945" s="4"/>
      <c r="J945" s="18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4"/>
      <c r="X945" s="4"/>
      <c r="Y945" s="4"/>
      <c r="Z945" s="4"/>
    </row>
    <row r="946" spans="1:26" ht="14.25" customHeight="1" x14ac:dyDescent="0.3">
      <c r="A946" s="35"/>
      <c r="B946" s="4"/>
      <c r="C946" s="4"/>
      <c r="D946" s="4"/>
      <c r="E946" s="4"/>
      <c r="F946" s="4"/>
      <c r="G946" s="4"/>
      <c r="H946" s="4"/>
      <c r="I946" s="4"/>
      <c r="J946" s="18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4"/>
      <c r="X946" s="4"/>
      <c r="Y946" s="4"/>
      <c r="Z946" s="4"/>
    </row>
    <row r="947" spans="1:26" ht="14.25" customHeight="1" x14ac:dyDescent="0.3">
      <c r="A947" s="35"/>
      <c r="B947" s="4"/>
      <c r="C947" s="4"/>
      <c r="D947" s="4"/>
      <c r="E947" s="4"/>
      <c r="F947" s="4"/>
      <c r="G947" s="4"/>
      <c r="H947" s="4"/>
      <c r="I947" s="4"/>
      <c r="J947" s="18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4"/>
      <c r="X947" s="4"/>
      <c r="Y947" s="4"/>
      <c r="Z947" s="4"/>
    </row>
    <row r="948" spans="1:26" ht="14.25" customHeight="1" x14ac:dyDescent="0.3">
      <c r="A948" s="35"/>
      <c r="B948" s="4"/>
      <c r="C948" s="4"/>
      <c r="D948" s="4"/>
      <c r="E948" s="4"/>
      <c r="F948" s="4"/>
      <c r="G948" s="4"/>
      <c r="H948" s="4"/>
      <c r="I948" s="4"/>
      <c r="J948" s="18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4"/>
      <c r="X948" s="4"/>
      <c r="Y948" s="4"/>
      <c r="Z948" s="4"/>
    </row>
    <row r="949" spans="1:26" ht="14.25" customHeight="1" x14ac:dyDescent="0.3">
      <c r="A949" s="35"/>
      <c r="B949" s="4"/>
      <c r="C949" s="4"/>
      <c r="D949" s="4"/>
      <c r="E949" s="4"/>
      <c r="F949" s="4"/>
      <c r="G949" s="4"/>
      <c r="H949" s="4"/>
      <c r="I949" s="4"/>
      <c r="J949" s="18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4"/>
      <c r="X949" s="4"/>
      <c r="Y949" s="4"/>
      <c r="Z949" s="4"/>
    </row>
    <row r="950" spans="1:26" ht="14.25" customHeight="1" x14ac:dyDescent="0.3">
      <c r="A950" s="35"/>
      <c r="B950" s="4"/>
      <c r="C950" s="4"/>
      <c r="D950" s="4"/>
      <c r="E950" s="4"/>
      <c r="F950" s="4"/>
      <c r="G950" s="4"/>
      <c r="H950" s="4"/>
      <c r="I950" s="4"/>
      <c r="J950" s="18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4"/>
      <c r="X950" s="4"/>
      <c r="Y950" s="4"/>
      <c r="Z950" s="4"/>
    </row>
    <row r="951" spans="1:26" ht="14.25" customHeight="1" x14ac:dyDescent="0.3">
      <c r="A951" s="35"/>
      <c r="B951" s="4"/>
      <c r="C951" s="4"/>
      <c r="D951" s="4"/>
      <c r="E951" s="4"/>
      <c r="F951" s="4"/>
      <c r="G951" s="4"/>
      <c r="H951" s="4"/>
      <c r="I951" s="4"/>
      <c r="J951" s="18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4"/>
      <c r="X951" s="4"/>
      <c r="Y951" s="4"/>
      <c r="Z951" s="4"/>
    </row>
    <row r="952" spans="1:26" ht="14.25" customHeight="1" x14ac:dyDescent="0.3">
      <c r="A952" s="35"/>
      <c r="B952" s="4"/>
      <c r="C952" s="4"/>
      <c r="D952" s="4"/>
      <c r="E952" s="4"/>
      <c r="F952" s="4"/>
      <c r="G952" s="4"/>
      <c r="H952" s="4"/>
      <c r="I952" s="4"/>
      <c r="J952" s="18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4"/>
      <c r="X952" s="4"/>
      <c r="Y952" s="4"/>
      <c r="Z952" s="4"/>
    </row>
    <row r="953" spans="1:26" ht="14.25" customHeight="1" x14ac:dyDescent="0.3">
      <c r="A953" s="35"/>
      <c r="B953" s="4"/>
      <c r="C953" s="4"/>
      <c r="D953" s="4"/>
      <c r="E953" s="4"/>
      <c r="F953" s="4"/>
      <c r="G953" s="4"/>
      <c r="H953" s="4"/>
      <c r="I953" s="4"/>
      <c r="J953" s="18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4"/>
      <c r="X953" s="4"/>
      <c r="Y953" s="4"/>
      <c r="Z953" s="4"/>
    </row>
    <row r="954" spans="1:26" ht="14.25" customHeight="1" x14ac:dyDescent="0.3">
      <c r="A954" s="35"/>
      <c r="B954" s="4"/>
      <c r="C954" s="4"/>
      <c r="D954" s="4"/>
      <c r="E954" s="4"/>
      <c r="F954" s="4"/>
      <c r="G954" s="4"/>
      <c r="H954" s="4"/>
      <c r="I954" s="4"/>
      <c r="J954" s="18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4"/>
      <c r="X954" s="4"/>
      <c r="Y954" s="4"/>
      <c r="Z954" s="4"/>
    </row>
    <row r="955" spans="1:26" ht="14.25" customHeight="1" x14ac:dyDescent="0.3">
      <c r="A955" s="35"/>
      <c r="B955" s="4"/>
      <c r="C955" s="4"/>
      <c r="D955" s="4"/>
      <c r="E955" s="4"/>
      <c r="F955" s="4"/>
      <c r="G955" s="4"/>
      <c r="H955" s="4"/>
      <c r="I955" s="4"/>
      <c r="J955" s="18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4"/>
      <c r="X955" s="4"/>
      <c r="Y955" s="4"/>
      <c r="Z955" s="4"/>
    </row>
    <row r="956" spans="1:26" ht="14.25" customHeight="1" x14ac:dyDescent="0.3">
      <c r="A956" s="35"/>
      <c r="B956" s="4"/>
      <c r="C956" s="4"/>
      <c r="D956" s="4"/>
      <c r="E956" s="4"/>
      <c r="F956" s="4"/>
      <c r="G956" s="4"/>
      <c r="H956" s="4"/>
      <c r="I956" s="4"/>
      <c r="J956" s="18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4"/>
      <c r="X956" s="4"/>
      <c r="Y956" s="4"/>
      <c r="Z956" s="4"/>
    </row>
    <row r="957" spans="1:26" ht="14.25" customHeight="1" x14ac:dyDescent="0.3">
      <c r="A957" s="35"/>
      <c r="B957" s="4"/>
      <c r="C957" s="4"/>
      <c r="D957" s="4"/>
      <c r="E957" s="4"/>
      <c r="F957" s="4"/>
      <c r="G957" s="4"/>
      <c r="H957" s="4"/>
      <c r="I957" s="4"/>
      <c r="J957" s="18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4"/>
      <c r="X957" s="4"/>
      <c r="Y957" s="4"/>
      <c r="Z957" s="4"/>
    </row>
    <row r="958" spans="1:26" ht="14.25" customHeight="1" x14ac:dyDescent="0.3">
      <c r="A958" s="35"/>
      <c r="B958" s="4"/>
      <c r="C958" s="4"/>
      <c r="D958" s="4"/>
      <c r="E958" s="4"/>
      <c r="F958" s="4"/>
      <c r="G958" s="4"/>
      <c r="H958" s="4"/>
      <c r="I958" s="4"/>
      <c r="J958" s="18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4"/>
      <c r="X958" s="4"/>
      <c r="Y958" s="4"/>
      <c r="Z958" s="4"/>
    </row>
    <row r="959" spans="1:26" ht="14.25" customHeight="1" x14ac:dyDescent="0.3">
      <c r="A959" s="35"/>
      <c r="B959" s="4"/>
      <c r="C959" s="4"/>
      <c r="D959" s="4"/>
      <c r="E959" s="4"/>
      <c r="F959" s="4"/>
      <c r="G959" s="4"/>
      <c r="H959" s="4"/>
      <c r="I959" s="4"/>
      <c r="J959" s="18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4"/>
      <c r="X959" s="4"/>
      <c r="Y959" s="4"/>
      <c r="Z959" s="4"/>
    </row>
    <row r="960" spans="1:26" ht="14.25" customHeight="1" x14ac:dyDescent="0.3">
      <c r="A960" s="35"/>
      <c r="B960" s="4"/>
      <c r="C960" s="4"/>
      <c r="D960" s="4"/>
      <c r="E960" s="4"/>
      <c r="F960" s="4"/>
      <c r="G960" s="4"/>
      <c r="H960" s="4"/>
      <c r="I960" s="4"/>
      <c r="J960" s="18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4"/>
      <c r="X960" s="4"/>
      <c r="Y960" s="4"/>
      <c r="Z960" s="4"/>
    </row>
    <row r="961" spans="1:26" ht="14.25" customHeight="1" x14ac:dyDescent="0.3">
      <c r="A961" s="35"/>
      <c r="B961" s="4"/>
      <c r="C961" s="4"/>
      <c r="D961" s="4"/>
      <c r="E961" s="4"/>
      <c r="F961" s="4"/>
      <c r="G961" s="4"/>
      <c r="H961" s="4"/>
      <c r="I961" s="4"/>
      <c r="J961" s="18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4"/>
      <c r="X961" s="4"/>
      <c r="Y961" s="4"/>
      <c r="Z961" s="4"/>
    </row>
    <row r="962" spans="1:26" ht="14.25" customHeight="1" x14ac:dyDescent="0.3">
      <c r="A962" s="35"/>
      <c r="B962" s="4"/>
      <c r="C962" s="4"/>
      <c r="D962" s="4"/>
      <c r="E962" s="4"/>
      <c r="F962" s="4"/>
      <c r="G962" s="4"/>
      <c r="H962" s="4"/>
      <c r="I962" s="4"/>
      <c r="J962" s="18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4"/>
      <c r="X962" s="4"/>
      <c r="Y962" s="4"/>
      <c r="Z962" s="4"/>
    </row>
    <row r="963" spans="1:26" ht="14.25" customHeight="1" x14ac:dyDescent="0.3">
      <c r="A963" s="35"/>
      <c r="B963" s="4"/>
      <c r="C963" s="4"/>
      <c r="D963" s="4"/>
      <c r="E963" s="4"/>
      <c r="F963" s="4"/>
      <c r="G963" s="4"/>
      <c r="H963" s="4"/>
      <c r="I963" s="4"/>
      <c r="J963" s="18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4"/>
      <c r="X963" s="4"/>
      <c r="Y963" s="4"/>
      <c r="Z963" s="4"/>
    </row>
    <row r="964" spans="1:26" ht="14.25" customHeight="1" x14ac:dyDescent="0.3">
      <c r="A964" s="35"/>
      <c r="B964" s="4"/>
      <c r="C964" s="4"/>
      <c r="D964" s="4"/>
      <c r="E964" s="4"/>
      <c r="F964" s="4"/>
      <c r="G964" s="4"/>
      <c r="H964" s="4"/>
      <c r="I964" s="4"/>
      <c r="J964" s="18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4"/>
      <c r="X964" s="4"/>
      <c r="Y964" s="4"/>
      <c r="Z964" s="4"/>
    </row>
    <row r="965" spans="1:26" ht="14.25" customHeight="1" x14ac:dyDescent="0.3">
      <c r="A965" s="35"/>
      <c r="B965" s="4"/>
      <c r="C965" s="4"/>
      <c r="D965" s="4"/>
      <c r="E965" s="4"/>
      <c r="F965" s="4"/>
      <c r="G965" s="4"/>
      <c r="H965" s="4"/>
      <c r="I965" s="4"/>
      <c r="J965" s="18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4"/>
      <c r="X965" s="4"/>
      <c r="Y965" s="4"/>
      <c r="Z965" s="4"/>
    </row>
    <row r="966" spans="1:26" ht="14.25" customHeight="1" x14ac:dyDescent="0.3">
      <c r="A966" s="35"/>
      <c r="B966" s="4"/>
      <c r="C966" s="4"/>
      <c r="D966" s="4"/>
      <c r="E966" s="4"/>
      <c r="F966" s="4"/>
      <c r="G966" s="4"/>
      <c r="H966" s="4"/>
      <c r="I966" s="4"/>
      <c r="J966" s="18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4"/>
      <c r="X966" s="4"/>
      <c r="Y966" s="4"/>
      <c r="Z966" s="4"/>
    </row>
    <row r="967" spans="1:26" ht="14.25" customHeight="1" x14ac:dyDescent="0.3">
      <c r="A967" s="35"/>
      <c r="B967" s="4"/>
      <c r="C967" s="4"/>
      <c r="D967" s="4"/>
      <c r="E967" s="4"/>
      <c r="F967" s="4"/>
      <c r="G967" s="4"/>
      <c r="H967" s="4"/>
      <c r="I967" s="4"/>
      <c r="J967" s="18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4"/>
      <c r="X967" s="4"/>
      <c r="Y967" s="4"/>
      <c r="Z967" s="4"/>
    </row>
    <row r="968" spans="1:26" ht="14.25" customHeight="1" x14ac:dyDescent="0.3">
      <c r="A968" s="35"/>
      <c r="B968" s="4"/>
      <c r="C968" s="4"/>
      <c r="D968" s="4"/>
      <c r="E968" s="4"/>
      <c r="F968" s="4"/>
      <c r="G968" s="4"/>
      <c r="H968" s="4"/>
      <c r="I968" s="4"/>
      <c r="J968" s="18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4"/>
      <c r="X968" s="4"/>
      <c r="Y968" s="4"/>
      <c r="Z968" s="4"/>
    </row>
    <row r="969" spans="1:26" ht="14.25" customHeight="1" x14ac:dyDescent="0.3">
      <c r="A969" s="35"/>
      <c r="B969" s="4"/>
      <c r="C969" s="4"/>
      <c r="D969" s="4"/>
      <c r="E969" s="4"/>
      <c r="F969" s="4"/>
      <c r="G969" s="4"/>
      <c r="H969" s="4"/>
      <c r="I969" s="4"/>
      <c r="J969" s="18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4"/>
      <c r="X969" s="4"/>
      <c r="Y969" s="4"/>
      <c r="Z969" s="4"/>
    </row>
    <row r="970" spans="1:26" ht="14.25" customHeight="1" x14ac:dyDescent="0.3">
      <c r="A970" s="35"/>
      <c r="B970" s="4"/>
      <c r="C970" s="4"/>
      <c r="D970" s="4"/>
      <c r="E970" s="4"/>
      <c r="F970" s="4"/>
      <c r="G970" s="4"/>
      <c r="H970" s="4"/>
      <c r="I970" s="4"/>
      <c r="J970" s="18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4"/>
      <c r="X970" s="4"/>
      <c r="Y970" s="4"/>
      <c r="Z970" s="4"/>
    </row>
    <row r="971" spans="1:26" ht="14.25" customHeight="1" x14ac:dyDescent="0.3">
      <c r="A971" s="35"/>
      <c r="B971" s="4"/>
      <c r="C971" s="4"/>
      <c r="D971" s="4"/>
      <c r="E971" s="4"/>
      <c r="F971" s="4"/>
      <c r="G971" s="4"/>
      <c r="H971" s="4"/>
      <c r="I971" s="4"/>
      <c r="J971" s="18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4"/>
      <c r="X971" s="4"/>
      <c r="Y971" s="4"/>
      <c r="Z971" s="4"/>
    </row>
    <row r="972" spans="1:26" ht="14.25" customHeight="1" x14ac:dyDescent="0.3">
      <c r="A972" s="35"/>
      <c r="B972" s="4"/>
      <c r="C972" s="4"/>
      <c r="D972" s="4"/>
      <c r="E972" s="4"/>
      <c r="F972" s="4"/>
      <c r="G972" s="4"/>
      <c r="H972" s="4"/>
      <c r="I972" s="4"/>
      <c r="J972" s="18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4"/>
      <c r="X972" s="4"/>
      <c r="Y972" s="4"/>
      <c r="Z972" s="4"/>
    </row>
    <row r="973" spans="1:26" ht="14.25" customHeight="1" x14ac:dyDescent="0.3">
      <c r="A973" s="35"/>
      <c r="B973" s="4"/>
      <c r="C973" s="4"/>
      <c r="D973" s="4"/>
      <c r="E973" s="4"/>
      <c r="F973" s="4"/>
      <c r="G973" s="4"/>
      <c r="H973" s="4"/>
      <c r="I973" s="4"/>
      <c r="J973" s="18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4"/>
      <c r="X973" s="4"/>
      <c r="Y973" s="4"/>
      <c r="Z973" s="4"/>
    </row>
    <row r="974" spans="1:26" ht="14.25" customHeight="1" x14ac:dyDescent="0.3">
      <c r="A974" s="35"/>
      <c r="B974" s="4"/>
      <c r="C974" s="4"/>
      <c r="D974" s="4"/>
      <c r="E974" s="4"/>
      <c r="F974" s="4"/>
      <c r="G974" s="4"/>
      <c r="H974" s="4"/>
      <c r="I974" s="4"/>
      <c r="J974" s="18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4"/>
      <c r="X974" s="4"/>
      <c r="Y974" s="4"/>
      <c r="Z974" s="4"/>
    </row>
    <row r="975" spans="1:26" ht="14.25" customHeight="1" x14ac:dyDescent="0.3">
      <c r="A975" s="35"/>
      <c r="B975" s="4"/>
      <c r="C975" s="4"/>
      <c r="D975" s="4"/>
      <c r="E975" s="4"/>
      <c r="F975" s="4"/>
      <c r="G975" s="4"/>
      <c r="H975" s="4"/>
      <c r="I975" s="4"/>
      <c r="J975" s="18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4"/>
      <c r="X975" s="4"/>
      <c r="Y975" s="4"/>
      <c r="Z975" s="4"/>
    </row>
    <row r="976" spans="1:26" ht="14.25" customHeight="1" x14ac:dyDescent="0.3">
      <c r="A976" s="35"/>
      <c r="B976" s="4"/>
      <c r="C976" s="4"/>
      <c r="D976" s="4"/>
      <c r="E976" s="4"/>
      <c r="F976" s="4"/>
      <c r="G976" s="4"/>
      <c r="H976" s="4"/>
      <c r="I976" s="4"/>
      <c r="J976" s="18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4"/>
      <c r="X976" s="4"/>
      <c r="Y976" s="4"/>
      <c r="Z976" s="4"/>
    </row>
    <row r="977" spans="1:26" ht="14.25" customHeight="1" x14ac:dyDescent="0.3">
      <c r="A977" s="35"/>
      <c r="B977" s="4"/>
      <c r="C977" s="4"/>
      <c r="D977" s="4"/>
      <c r="E977" s="4"/>
      <c r="F977" s="4"/>
      <c r="G977" s="4"/>
      <c r="H977" s="4"/>
      <c r="I977" s="4"/>
      <c r="J977" s="18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4"/>
      <c r="X977" s="4"/>
      <c r="Y977" s="4"/>
      <c r="Z977" s="4"/>
    </row>
    <row r="978" spans="1:26" ht="14.25" customHeight="1" x14ac:dyDescent="0.3">
      <c r="A978" s="35"/>
      <c r="B978" s="4"/>
      <c r="C978" s="4"/>
      <c r="D978" s="4"/>
      <c r="E978" s="4"/>
      <c r="F978" s="4"/>
      <c r="G978" s="4"/>
      <c r="H978" s="4"/>
      <c r="I978" s="4"/>
      <c r="J978" s="18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4"/>
      <c r="X978" s="4"/>
      <c r="Y978" s="4"/>
      <c r="Z978" s="4"/>
    </row>
    <row r="979" spans="1:26" ht="14.25" customHeight="1" x14ac:dyDescent="0.3">
      <c r="A979" s="35"/>
      <c r="B979" s="4"/>
      <c r="C979" s="4"/>
      <c r="D979" s="4"/>
      <c r="E979" s="4"/>
      <c r="F979" s="4"/>
      <c r="G979" s="4"/>
      <c r="H979" s="4"/>
      <c r="I979" s="4"/>
      <c r="J979" s="18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4"/>
      <c r="X979" s="4"/>
      <c r="Y979" s="4"/>
      <c r="Z979" s="4"/>
    </row>
    <row r="980" spans="1:26" ht="14.25" customHeight="1" x14ac:dyDescent="0.3">
      <c r="A980" s="35"/>
      <c r="B980" s="4"/>
      <c r="C980" s="4"/>
      <c r="D980" s="4"/>
      <c r="E980" s="4"/>
      <c r="F980" s="4"/>
      <c r="G980" s="4"/>
      <c r="H980" s="4"/>
      <c r="I980" s="4"/>
      <c r="J980" s="18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4"/>
      <c r="X980" s="4"/>
      <c r="Y980" s="4"/>
      <c r="Z980" s="4"/>
    </row>
    <row r="981" spans="1:26" ht="14.25" customHeight="1" x14ac:dyDescent="0.3">
      <c r="A981" s="35"/>
      <c r="B981" s="4"/>
      <c r="C981" s="4"/>
      <c r="D981" s="4"/>
      <c r="E981" s="4"/>
      <c r="F981" s="4"/>
      <c r="G981" s="4"/>
      <c r="H981" s="4"/>
      <c r="I981" s="4"/>
      <c r="J981" s="18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4"/>
      <c r="X981" s="4"/>
      <c r="Y981" s="4"/>
      <c r="Z981" s="4"/>
    </row>
    <row r="982" spans="1:26" ht="14.25" customHeight="1" x14ac:dyDescent="0.3">
      <c r="A982" s="35"/>
      <c r="B982" s="4"/>
      <c r="C982" s="4"/>
      <c r="D982" s="4"/>
      <c r="E982" s="4"/>
      <c r="F982" s="4"/>
      <c r="G982" s="4"/>
      <c r="H982" s="4"/>
      <c r="I982" s="4"/>
      <c r="J982" s="18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4"/>
      <c r="X982" s="4"/>
      <c r="Y982" s="4"/>
      <c r="Z982" s="4"/>
    </row>
    <row r="983" spans="1:26" ht="14.25" customHeight="1" x14ac:dyDescent="0.3">
      <c r="A983" s="35"/>
      <c r="B983" s="4"/>
      <c r="C983" s="4"/>
      <c r="D983" s="4"/>
      <c r="E983" s="4"/>
      <c r="F983" s="4"/>
      <c r="G983" s="4"/>
      <c r="H983" s="4"/>
      <c r="I983" s="4"/>
      <c r="J983" s="18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4"/>
      <c r="X983" s="4"/>
      <c r="Y983" s="4"/>
      <c r="Z983" s="4"/>
    </row>
    <row r="984" spans="1:26" ht="14.25" customHeight="1" x14ac:dyDescent="0.3">
      <c r="A984" s="35"/>
      <c r="B984" s="4"/>
      <c r="C984" s="4"/>
      <c r="D984" s="4"/>
      <c r="E984" s="4"/>
      <c r="F984" s="4"/>
      <c r="G984" s="4"/>
      <c r="H984" s="4"/>
      <c r="I984" s="4"/>
      <c r="J984" s="18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4"/>
      <c r="X984" s="4"/>
      <c r="Y984" s="4"/>
      <c r="Z984" s="4"/>
    </row>
    <row r="985" spans="1:26" ht="14.25" customHeight="1" x14ac:dyDescent="0.3">
      <c r="A985" s="35"/>
      <c r="B985" s="4"/>
      <c r="C985" s="4"/>
      <c r="D985" s="4"/>
      <c r="E985" s="4"/>
      <c r="F985" s="4"/>
      <c r="G985" s="4"/>
      <c r="H985" s="4"/>
      <c r="I985" s="4"/>
      <c r="J985" s="18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4"/>
      <c r="X985" s="4"/>
      <c r="Y985" s="4"/>
      <c r="Z985" s="4"/>
    </row>
    <row r="986" spans="1:26" ht="14.25" customHeight="1" x14ac:dyDescent="0.3">
      <c r="A986" s="35"/>
      <c r="B986" s="4"/>
      <c r="C986" s="4"/>
      <c r="D986" s="4"/>
      <c r="E986" s="4"/>
      <c r="F986" s="4"/>
      <c r="G986" s="4"/>
      <c r="H986" s="4"/>
      <c r="I986" s="4"/>
      <c r="J986" s="18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4"/>
      <c r="X986" s="4"/>
      <c r="Y986" s="4"/>
      <c r="Z986" s="4"/>
    </row>
    <row r="987" spans="1:26" ht="14.25" customHeight="1" x14ac:dyDescent="0.3">
      <c r="A987" s="35"/>
      <c r="B987" s="4"/>
      <c r="C987" s="4"/>
      <c r="D987" s="4"/>
      <c r="E987" s="4"/>
      <c r="F987" s="4"/>
      <c r="G987" s="4"/>
      <c r="H987" s="4"/>
      <c r="I987" s="4"/>
      <c r="J987" s="18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4"/>
      <c r="X987" s="4"/>
      <c r="Y987" s="4"/>
      <c r="Z987" s="4"/>
    </row>
    <row r="988" spans="1:26" ht="14.25" customHeight="1" x14ac:dyDescent="0.3">
      <c r="A988" s="35"/>
      <c r="B988" s="4"/>
      <c r="C988" s="4"/>
      <c r="D988" s="4"/>
      <c r="E988" s="4"/>
      <c r="F988" s="4"/>
      <c r="G988" s="4"/>
      <c r="H988" s="4"/>
      <c r="I988" s="4"/>
      <c r="J988" s="18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4"/>
      <c r="X988" s="4"/>
      <c r="Y988" s="4"/>
      <c r="Z988" s="4"/>
    </row>
    <row r="989" spans="1:26" ht="14.25" customHeight="1" x14ac:dyDescent="0.3">
      <c r="A989" s="35"/>
      <c r="B989" s="4"/>
      <c r="C989" s="4"/>
      <c r="D989" s="4"/>
      <c r="E989" s="4"/>
      <c r="F989" s="4"/>
      <c r="G989" s="4"/>
      <c r="H989" s="4"/>
      <c r="I989" s="4"/>
      <c r="J989" s="18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4"/>
      <c r="X989" s="4"/>
      <c r="Y989" s="4"/>
      <c r="Z989" s="4"/>
    </row>
    <row r="990" spans="1:26" ht="14.25" customHeight="1" x14ac:dyDescent="0.3">
      <c r="A990" s="35"/>
      <c r="B990" s="4"/>
      <c r="C990" s="4"/>
      <c r="D990" s="4"/>
      <c r="E990" s="4"/>
      <c r="F990" s="4"/>
      <c r="G990" s="4"/>
      <c r="H990" s="4"/>
      <c r="I990" s="4"/>
      <c r="J990" s="18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4"/>
      <c r="X990" s="4"/>
      <c r="Y990" s="4"/>
      <c r="Z990" s="4"/>
    </row>
    <row r="991" spans="1:26" ht="14.25" customHeight="1" x14ac:dyDescent="0.3">
      <c r="A991" s="35"/>
      <c r="B991" s="4"/>
      <c r="C991" s="4"/>
      <c r="D991" s="4"/>
      <c r="E991" s="4"/>
      <c r="F991" s="4"/>
      <c r="G991" s="4"/>
      <c r="H991" s="4"/>
      <c r="I991" s="4"/>
      <c r="J991" s="18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4"/>
      <c r="X991" s="4"/>
      <c r="Y991" s="4"/>
      <c r="Z991" s="4"/>
    </row>
    <row r="992" spans="1:26" ht="14.25" customHeight="1" x14ac:dyDescent="0.3">
      <c r="A992" s="35"/>
      <c r="B992" s="4"/>
      <c r="C992" s="4"/>
      <c r="D992" s="4"/>
      <c r="E992" s="4"/>
      <c r="F992" s="4"/>
      <c r="G992" s="4"/>
      <c r="H992" s="4"/>
      <c r="I992" s="4"/>
      <c r="J992" s="18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4"/>
      <c r="X992" s="4"/>
      <c r="Y992" s="4"/>
      <c r="Z992" s="4"/>
    </row>
    <row r="993" spans="1:26" ht="14.25" customHeight="1" x14ac:dyDescent="0.3">
      <c r="A993" s="35"/>
      <c r="B993" s="4"/>
      <c r="C993" s="4"/>
      <c r="D993" s="4"/>
      <c r="E993" s="4"/>
      <c r="F993" s="4"/>
      <c r="G993" s="4"/>
      <c r="H993" s="4"/>
      <c r="I993" s="4"/>
      <c r="J993" s="18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4"/>
      <c r="X993" s="4"/>
      <c r="Y993" s="4"/>
      <c r="Z993" s="4"/>
    </row>
    <row r="994" spans="1:26" ht="14.25" customHeight="1" x14ac:dyDescent="0.3">
      <c r="A994" s="35"/>
      <c r="B994" s="4"/>
      <c r="C994" s="4"/>
      <c r="D994" s="4"/>
      <c r="E994" s="4"/>
      <c r="F994" s="4"/>
      <c r="G994" s="4"/>
      <c r="H994" s="4"/>
      <c r="I994" s="4"/>
      <c r="J994" s="18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4"/>
      <c r="X994" s="4"/>
      <c r="Y994" s="4"/>
      <c r="Z994" s="4"/>
    </row>
    <row r="995" spans="1:26" ht="14.25" customHeight="1" x14ac:dyDescent="0.3">
      <c r="A995" s="35"/>
      <c r="B995" s="4"/>
      <c r="C995" s="4"/>
      <c r="D995" s="4"/>
      <c r="E995" s="4"/>
      <c r="F995" s="4"/>
      <c r="G995" s="4"/>
      <c r="H995" s="4"/>
      <c r="I995" s="4"/>
      <c r="J995" s="18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4"/>
      <c r="X995" s="4"/>
      <c r="Y995" s="4"/>
      <c r="Z995" s="4"/>
    </row>
    <row r="996" spans="1:26" ht="14.25" customHeight="1" x14ac:dyDescent="0.3">
      <c r="A996" s="35"/>
      <c r="B996" s="4"/>
      <c r="C996" s="4"/>
      <c r="D996" s="4"/>
      <c r="E996" s="4"/>
      <c r="F996" s="4"/>
      <c r="G996" s="4"/>
      <c r="H996" s="4"/>
      <c r="I996" s="4"/>
      <c r="J996" s="18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4"/>
      <c r="X996" s="4"/>
      <c r="Y996" s="4"/>
      <c r="Z996" s="4"/>
    </row>
    <row r="997" spans="1:26" ht="14.25" customHeight="1" x14ac:dyDescent="0.3">
      <c r="A997" s="35"/>
      <c r="B997" s="4"/>
      <c r="C997" s="4"/>
      <c r="D997" s="4"/>
      <c r="E997" s="4"/>
      <c r="F997" s="4"/>
      <c r="G997" s="4"/>
      <c r="H997" s="4"/>
      <c r="I997" s="4"/>
      <c r="J997" s="18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4"/>
      <c r="X997" s="4"/>
      <c r="Y997" s="4"/>
      <c r="Z997" s="4"/>
    </row>
    <row r="998" spans="1:26" ht="14.25" customHeight="1" x14ac:dyDescent="0.3">
      <c r="A998" s="35"/>
      <c r="B998" s="4"/>
      <c r="C998" s="4"/>
      <c r="D998" s="4"/>
      <c r="E998" s="4"/>
      <c r="F998" s="4"/>
      <c r="G998" s="4"/>
      <c r="H998" s="4"/>
      <c r="I998" s="4"/>
      <c r="J998" s="18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4"/>
      <c r="X998" s="4"/>
      <c r="Y998" s="4"/>
      <c r="Z998" s="4"/>
    </row>
    <row r="999" spans="1:26" ht="14.25" customHeight="1" x14ac:dyDescent="0.3">
      <c r="A999" s="35"/>
      <c r="B999" s="4"/>
      <c r="C999" s="4"/>
      <c r="D999" s="4"/>
      <c r="E999" s="4"/>
      <c r="F999" s="4"/>
      <c r="G999" s="4"/>
      <c r="H999" s="4"/>
      <c r="I999" s="4"/>
      <c r="J999" s="18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4"/>
      <c r="X999" s="4"/>
      <c r="Y999" s="4"/>
      <c r="Z999" s="4"/>
    </row>
    <row r="1000" spans="1:26" ht="14.25" customHeight="1" x14ac:dyDescent="0.3">
      <c r="A1000" s="35"/>
      <c r="B1000" s="4"/>
      <c r="C1000" s="4"/>
      <c r="D1000" s="4"/>
      <c r="E1000" s="4"/>
      <c r="F1000" s="4"/>
      <c r="G1000" s="4"/>
      <c r="H1000" s="4"/>
      <c r="I1000" s="4"/>
      <c r="J1000" s="18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4"/>
      <c r="X1000" s="4"/>
      <c r="Y1000" s="4"/>
      <c r="Z1000" s="4"/>
    </row>
  </sheetData>
  <dataValidations count="1">
    <dataValidation type="custom" allowBlank="1" showInputMessage="1" showErrorMessage="1" errorTitle="Date" error="Not a valid closing date" promptTitle="Week Starting Date" prompt="Enter a valid closing datehere" sqref="D1">
      <formula1>TEXT(IFERROR(DATEVALUE(TEXT(D1,"dd-mm-yy")),""),"ddd")=lastDayOfWeek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00"/>
  <sheetViews>
    <sheetView showGridLines="0" zoomScale="70" zoomScaleNormal="70" workbookViewId="0">
      <selection activeCell="C7" sqref="C7"/>
    </sheetView>
  </sheetViews>
  <sheetFormatPr defaultColWidth="17.28515625" defaultRowHeight="15" customHeight="1" x14ac:dyDescent="0.2"/>
  <cols>
    <col min="1" max="1" width="25.85546875" customWidth="1"/>
    <col min="2" max="10" width="24.85546875" customWidth="1"/>
    <col min="11" max="20" width="15.7109375" customWidth="1"/>
    <col min="21" max="26" width="8" customWidth="1"/>
  </cols>
  <sheetData>
    <row r="1" spans="1:26" ht="26.25" customHeight="1" x14ac:dyDescent="0.3">
      <c r="A1" s="56" t="str">
        <f>+'Mon 20'!A1</f>
        <v>HOTEL: Balaclava (Vic) - 3030</v>
      </c>
      <c r="B1" s="57"/>
      <c r="C1" s="58" t="s">
        <v>77</v>
      </c>
      <c r="D1" s="59">
        <f>+'Sun 26'!D1</f>
        <v>42792</v>
      </c>
      <c r="E1" s="60" t="str">
        <f>+'Mon 20'!E1</f>
        <v>DAILY TILL TAKING SUMMARY</v>
      </c>
      <c r="F1" s="60"/>
      <c r="G1" s="60"/>
      <c r="H1" s="60"/>
      <c r="I1" s="60"/>
      <c r="J1" s="61"/>
      <c r="K1" s="62"/>
      <c r="L1" s="62"/>
      <c r="M1" s="62"/>
      <c r="N1" s="62"/>
      <c r="O1" s="62"/>
      <c r="P1" s="62"/>
      <c r="Q1" s="62"/>
      <c r="R1" s="62"/>
      <c r="S1" s="62"/>
      <c r="T1" s="62"/>
      <c r="U1" s="63"/>
      <c r="V1" s="63"/>
      <c r="W1" s="63"/>
      <c r="X1" s="63"/>
      <c r="Y1" s="63"/>
      <c r="Z1" s="63"/>
    </row>
    <row r="2" spans="1:26" ht="26.25" customHeight="1" x14ac:dyDescent="0.35">
      <c r="A2" s="64"/>
      <c r="B2" s="65" t="s">
        <v>78</v>
      </c>
      <c r="C2" s="66" t="s">
        <v>79</v>
      </c>
      <c r="D2" s="66" t="s">
        <v>80</v>
      </c>
      <c r="E2" s="66" t="s">
        <v>81</v>
      </c>
      <c r="F2" s="66" t="s">
        <v>82</v>
      </c>
      <c r="G2" s="66" t="s">
        <v>83</v>
      </c>
      <c r="H2" s="66" t="s">
        <v>84</v>
      </c>
      <c r="I2" s="66" t="s">
        <v>9</v>
      </c>
      <c r="J2" s="67" t="s">
        <v>85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9"/>
      <c r="V2" s="3"/>
      <c r="W2" s="3"/>
      <c r="X2" s="3"/>
      <c r="Y2" s="3"/>
      <c r="Z2" s="3"/>
    </row>
    <row r="3" spans="1:26" ht="26.25" customHeight="1" x14ac:dyDescent="0.35">
      <c r="A3" s="70" t="s">
        <v>86</v>
      </c>
      <c r="B3" s="71"/>
      <c r="C3" s="71"/>
      <c r="D3" s="71"/>
      <c r="E3" s="71"/>
      <c r="F3" s="71"/>
      <c r="G3" s="71"/>
      <c r="H3" s="71"/>
      <c r="I3" s="71"/>
      <c r="J3" s="72"/>
      <c r="K3" s="73"/>
      <c r="L3" s="73"/>
      <c r="M3" s="73"/>
      <c r="N3" s="73"/>
      <c r="O3" s="73"/>
      <c r="P3" s="73"/>
      <c r="Q3" s="73"/>
      <c r="R3" s="73"/>
      <c r="S3" s="73"/>
      <c r="T3" s="73"/>
      <c r="U3" s="69"/>
      <c r="V3" s="3"/>
      <c r="W3" s="3"/>
      <c r="X3" s="3"/>
      <c r="Y3" s="3"/>
      <c r="Z3" s="3"/>
    </row>
    <row r="4" spans="1:26" ht="26.25" customHeight="1" x14ac:dyDescent="0.35">
      <c r="A4" s="64" t="s">
        <v>87</v>
      </c>
      <c r="B4" s="74">
        <f>SUM('Mon 20'!$B$20:$C$20)</f>
        <v>0</v>
      </c>
      <c r="C4" s="74">
        <f>SUM('Tue 21'!$B$20:$C$20)</f>
        <v>0</v>
      </c>
      <c r="D4" s="74">
        <f>SUM('Wed 22'!$B$20:$C$20)</f>
        <v>0</v>
      </c>
      <c r="E4" s="74">
        <f>SUM('Thu 23'!$B$20:$C$20)</f>
        <v>0</v>
      </c>
      <c r="F4" s="74">
        <f>SUM('Fri 24'!$B$20:$C$20)</f>
        <v>0</v>
      </c>
      <c r="G4" s="74">
        <f>SUM('Sat 25'!$B$20:$C$20)</f>
        <v>0</v>
      </c>
      <c r="H4" s="74">
        <f>SUM('Sun 26'!$B$20:$C$20)</f>
        <v>0</v>
      </c>
      <c r="I4" s="74">
        <f t="shared" ref="I4:I5" si="0">SUM(B4:H4)</f>
        <v>0</v>
      </c>
      <c r="J4" s="75">
        <f t="shared" ref="J4:J5" si="1">+I4-I4/11</f>
        <v>0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69"/>
      <c r="V4" s="3"/>
      <c r="W4" s="3"/>
      <c r="X4" s="3"/>
      <c r="Y4" s="3"/>
      <c r="Z4" s="3"/>
    </row>
    <row r="5" spans="1:26" ht="26.25" customHeight="1" x14ac:dyDescent="0.35">
      <c r="A5" s="76" t="s">
        <v>88</v>
      </c>
      <c r="B5" s="77">
        <f>SUM('Mon 20'!$B$27:$C$27)</f>
        <v>0</v>
      </c>
      <c r="C5" s="77">
        <f>SUM('Tue 21'!$B$27:$C$27)</f>
        <v>0</v>
      </c>
      <c r="D5" s="77">
        <f>SUM('Wed 22'!$B$27:$C$27)</f>
        <v>0</v>
      </c>
      <c r="E5" s="77">
        <f>SUM('Thu 23'!$B$27:$C$27)</f>
        <v>0</v>
      </c>
      <c r="F5" s="77">
        <f>SUM('Fri 24'!$B$27:$C$27)</f>
        <v>0</v>
      </c>
      <c r="G5" s="77">
        <f>SUM('Sat 25'!$B$27:$C$27)</f>
        <v>0</v>
      </c>
      <c r="H5" s="77">
        <f>SUM('Sun 26'!$B$27:$C$27)</f>
        <v>0</v>
      </c>
      <c r="I5" s="77">
        <f t="shared" si="0"/>
        <v>0</v>
      </c>
      <c r="J5" s="78">
        <f t="shared" si="1"/>
        <v>0</v>
      </c>
      <c r="K5" s="73"/>
      <c r="L5" s="73"/>
      <c r="M5" s="73"/>
      <c r="N5" s="73"/>
      <c r="O5" s="73"/>
      <c r="P5" s="73"/>
      <c r="Q5" s="73"/>
      <c r="R5" s="73"/>
      <c r="S5" s="73"/>
      <c r="T5" s="73"/>
      <c r="U5" s="69"/>
      <c r="V5" s="3"/>
      <c r="W5" s="3"/>
      <c r="X5" s="3"/>
      <c r="Y5" s="3"/>
      <c r="Z5" s="3"/>
    </row>
    <row r="6" spans="1:26" ht="26.25" customHeight="1" x14ac:dyDescent="0.35">
      <c r="A6" s="70" t="s">
        <v>89</v>
      </c>
      <c r="B6" s="79"/>
      <c r="C6" s="79"/>
      <c r="D6" s="79"/>
      <c r="E6" s="79"/>
      <c r="F6" s="79"/>
      <c r="G6" s="79"/>
      <c r="H6" s="79"/>
      <c r="I6" s="79"/>
      <c r="J6" s="80"/>
      <c r="K6" s="81"/>
      <c r="L6" s="81"/>
      <c r="M6" s="81"/>
      <c r="N6" s="81"/>
      <c r="O6" s="81"/>
      <c r="P6" s="81"/>
      <c r="Q6" s="81"/>
      <c r="R6" s="81"/>
      <c r="S6" s="81"/>
      <c r="T6" s="81"/>
      <c r="U6" s="69"/>
      <c r="V6" s="3"/>
      <c r="W6" s="3"/>
      <c r="X6" s="3"/>
      <c r="Y6" s="3"/>
      <c r="Z6" s="3"/>
    </row>
    <row r="7" spans="1:26" ht="26.25" customHeight="1" x14ac:dyDescent="0.35">
      <c r="A7" s="64" t="s">
        <v>87</v>
      </c>
      <c r="B7" s="74">
        <f>+'Mon 20'!D56</f>
        <v>0</v>
      </c>
      <c r="C7" s="74">
        <f>+'Tue 21'!D56</f>
        <v>0</v>
      </c>
      <c r="D7" s="74">
        <f>+'Wed 22'!D56</f>
        <v>0</v>
      </c>
      <c r="E7" s="74">
        <f>+'Thu 23'!D56</f>
        <v>0</v>
      </c>
      <c r="F7" s="74">
        <f>+'Fri 24'!$D$56</f>
        <v>0</v>
      </c>
      <c r="G7" s="74">
        <f>+'Sat 25'!$D$56</f>
        <v>0</v>
      </c>
      <c r="H7" s="74">
        <f>+'Sun 26'!$D$56</f>
        <v>0</v>
      </c>
      <c r="I7" s="74">
        <f t="shared" ref="I7:I8" si="2">SUM(B7:H7)</f>
        <v>0</v>
      </c>
      <c r="J7" s="75">
        <f t="shared" ref="J7:J8" si="3">+I7-I7/11</f>
        <v>0</v>
      </c>
      <c r="K7" s="81"/>
      <c r="L7" s="81"/>
      <c r="M7" s="81"/>
      <c r="N7" s="81"/>
      <c r="O7" s="81"/>
      <c r="P7" s="81"/>
      <c r="Q7" s="81"/>
      <c r="R7" s="81"/>
      <c r="S7" s="81"/>
      <c r="T7" s="81"/>
      <c r="U7" s="69"/>
      <c r="V7" s="3"/>
      <c r="W7" s="3"/>
      <c r="X7" s="3"/>
      <c r="Y7" s="3"/>
      <c r="Z7" s="3"/>
    </row>
    <row r="8" spans="1:26" ht="26.25" customHeight="1" x14ac:dyDescent="0.35">
      <c r="A8" s="76" t="s">
        <v>88</v>
      </c>
      <c r="B8" s="77">
        <f>+'Mon 20'!D63</f>
        <v>0</v>
      </c>
      <c r="C8" s="77">
        <f>+'Tue 21'!D63</f>
        <v>0</v>
      </c>
      <c r="D8" s="77">
        <f>+'Wed 22'!D63</f>
        <v>0</v>
      </c>
      <c r="E8" s="77">
        <f>+'Thu 23'!D63</f>
        <v>0</v>
      </c>
      <c r="F8" s="77">
        <f>+'Fri 24'!$D$63</f>
        <v>0</v>
      </c>
      <c r="G8" s="77">
        <f>+'Sat 25'!$D$63</f>
        <v>0</v>
      </c>
      <c r="H8" s="77">
        <f>+'Sun 26'!$D$63</f>
        <v>0</v>
      </c>
      <c r="I8" s="77">
        <f t="shared" si="2"/>
        <v>0</v>
      </c>
      <c r="J8" s="78">
        <f t="shared" si="3"/>
        <v>0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69"/>
      <c r="V8" s="3"/>
      <c r="W8" s="3"/>
      <c r="X8" s="3"/>
      <c r="Y8" s="3"/>
      <c r="Z8" s="3"/>
    </row>
    <row r="9" spans="1:26" ht="26.25" customHeight="1" x14ac:dyDescent="0.35">
      <c r="A9" s="70" t="s">
        <v>90</v>
      </c>
      <c r="B9" s="79"/>
      <c r="C9" s="79"/>
      <c r="D9" s="79"/>
      <c r="E9" s="79"/>
      <c r="F9" s="79"/>
      <c r="G9" s="79"/>
      <c r="H9" s="79"/>
      <c r="I9" s="79"/>
      <c r="J9" s="80"/>
      <c r="K9" s="81"/>
      <c r="L9" s="81"/>
      <c r="M9" s="81"/>
      <c r="N9" s="81"/>
      <c r="O9" s="81"/>
      <c r="P9" s="81"/>
      <c r="Q9" s="81"/>
      <c r="R9" s="81"/>
      <c r="S9" s="81"/>
      <c r="T9" s="81"/>
      <c r="U9" s="69"/>
      <c r="V9" s="3"/>
      <c r="W9" s="3"/>
      <c r="X9" s="3"/>
      <c r="Y9" s="3"/>
      <c r="Z9" s="3"/>
    </row>
    <row r="10" spans="1:26" ht="26.25" customHeight="1" x14ac:dyDescent="0.35">
      <c r="A10" s="64" t="s">
        <v>87</v>
      </c>
      <c r="B10" s="74">
        <f>SUM('Mon 20'!$G$20:$I$20)</f>
        <v>0</v>
      </c>
      <c r="C10" s="74">
        <f>SUM('Tue 21'!$G$20:$I$20)</f>
        <v>0</v>
      </c>
      <c r="D10" s="74">
        <f>SUM('Wed 22'!$G$20:$I$20)</f>
        <v>0</v>
      </c>
      <c r="E10" s="74">
        <f>SUM('Thu 23'!$G$20:$I$20)</f>
        <v>0</v>
      </c>
      <c r="F10" s="74">
        <f>SUM('Fri 24'!$G$20:$I$20)</f>
        <v>0</v>
      </c>
      <c r="G10" s="74">
        <f>SUM('Sat 25'!$G$20:$I$20)</f>
        <v>0</v>
      </c>
      <c r="H10" s="74">
        <f>SUM('Sun 26'!$G$20:$I$20)</f>
        <v>0</v>
      </c>
      <c r="I10" s="74">
        <f t="shared" ref="I10:I11" si="4">SUM(B10:H10)</f>
        <v>0</v>
      </c>
      <c r="J10" s="75">
        <f t="shared" ref="J10:J11" si="5">+I10-I10/11</f>
        <v>0</v>
      </c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69"/>
      <c r="V10" s="3"/>
      <c r="W10" s="3"/>
      <c r="X10" s="3"/>
      <c r="Y10" s="3"/>
      <c r="Z10" s="3"/>
    </row>
    <row r="11" spans="1:26" ht="26.25" customHeight="1" x14ac:dyDescent="0.35">
      <c r="A11" s="76" t="s">
        <v>88</v>
      </c>
      <c r="B11" s="77">
        <f>SUM('Mon 20'!$G$27:$I$27)</f>
        <v>0</v>
      </c>
      <c r="C11" s="77">
        <f>SUM('Tue 21'!$G$27:$I$27)</f>
        <v>0</v>
      </c>
      <c r="D11" s="77">
        <f>SUM('Wed 22'!$G$27:$I$27)</f>
        <v>0</v>
      </c>
      <c r="E11" s="77">
        <f>SUM('Thu 23'!$G$27:$I$27)</f>
        <v>0</v>
      </c>
      <c r="F11" s="77">
        <f>SUM('Fri 24'!$G$27:$I$27)</f>
        <v>0</v>
      </c>
      <c r="G11" s="77">
        <f>SUM('Sat 25'!$G$27:$I$27)</f>
        <v>0</v>
      </c>
      <c r="H11" s="77">
        <f>SUM('Sun 26'!$G$27:$I$27)</f>
        <v>0</v>
      </c>
      <c r="I11" s="77">
        <f t="shared" si="4"/>
        <v>0</v>
      </c>
      <c r="J11" s="78">
        <f t="shared" si="5"/>
        <v>0</v>
      </c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69"/>
      <c r="V11" s="3"/>
      <c r="W11" s="3"/>
      <c r="X11" s="3"/>
      <c r="Y11" s="3"/>
      <c r="Z11" s="3"/>
    </row>
    <row r="12" spans="1:26" ht="26.25" customHeight="1" x14ac:dyDescent="0.35">
      <c r="A12" s="70" t="s">
        <v>91</v>
      </c>
      <c r="B12" s="79"/>
      <c r="C12" s="79"/>
      <c r="D12" s="79"/>
      <c r="E12" s="79"/>
      <c r="F12" s="79"/>
      <c r="G12" s="79"/>
      <c r="H12" s="79"/>
      <c r="I12" s="79"/>
      <c r="J12" s="80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69"/>
      <c r="V12" s="3"/>
      <c r="W12" s="3"/>
      <c r="X12" s="3"/>
      <c r="Y12" s="3"/>
      <c r="Z12" s="3"/>
    </row>
    <row r="13" spans="1:26" ht="26.25" customHeight="1" x14ac:dyDescent="0.35">
      <c r="A13" s="64" t="s">
        <v>87</v>
      </c>
      <c r="B13" s="74">
        <f>+'Mon 20'!E20</f>
        <v>0</v>
      </c>
      <c r="C13" s="74">
        <f>+'Tue 21'!E20</f>
        <v>0</v>
      </c>
      <c r="D13" s="74">
        <f>+'Wed 22'!E20</f>
        <v>0</v>
      </c>
      <c r="E13" s="74">
        <f>+'Thu 23'!E20</f>
        <v>0</v>
      </c>
      <c r="F13" s="74">
        <f>+'Fri 24'!$E$20</f>
        <v>0</v>
      </c>
      <c r="G13" s="74">
        <f>+'Sat 25'!$E$20</f>
        <v>0</v>
      </c>
      <c r="H13" s="74">
        <f>+'Sun 26'!$E$20</f>
        <v>0</v>
      </c>
      <c r="I13" s="74">
        <f t="shared" ref="I13:I14" si="6">SUM(B13:H13)</f>
        <v>0</v>
      </c>
      <c r="J13" s="75">
        <f t="shared" ref="J13:J14" si="7">+I13-I13/11</f>
        <v>0</v>
      </c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69"/>
      <c r="V13" s="3"/>
      <c r="W13" s="3"/>
      <c r="X13" s="3"/>
      <c r="Y13" s="3"/>
      <c r="Z13" s="3"/>
    </row>
    <row r="14" spans="1:26" ht="26.25" customHeight="1" x14ac:dyDescent="0.35">
      <c r="A14" s="76" t="s">
        <v>88</v>
      </c>
      <c r="B14" s="77">
        <f>+'Mon 20'!E27</f>
        <v>0</v>
      </c>
      <c r="C14" s="77">
        <f>+'Tue 21'!E27</f>
        <v>0</v>
      </c>
      <c r="D14" s="77">
        <f>+'Wed 22'!E27</f>
        <v>0</v>
      </c>
      <c r="E14" s="77">
        <f>+'Thu 23'!E27</f>
        <v>0</v>
      </c>
      <c r="F14" s="77">
        <f>+'Fri 24'!$E$27</f>
        <v>0</v>
      </c>
      <c r="G14" s="77">
        <f>+'Sat 25'!$E$27</f>
        <v>0</v>
      </c>
      <c r="H14" s="77">
        <f>+'Sun 26'!$E$27</f>
        <v>0</v>
      </c>
      <c r="I14" s="77">
        <f t="shared" si="6"/>
        <v>0</v>
      </c>
      <c r="J14" s="78">
        <f t="shared" si="7"/>
        <v>0</v>
      </c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69"/>
      <c r="V14" s="3"/>
      <c r="W14" s="3"/>
      <c r="X14" s="3"/>
      <c r="Y14" s="3"/>
      <c r="Z14" s="3"/>
    </row>
    <row r="15" spans="1:26" ht="26.25" customHeight="1" x14ac:dyDescent="0.35">
      <c r="A15" s="70" t="s">
        <v>92</v>
      </c>
      <c r="B15" s="79"/>
      <c r="C15" s="79"/>
      <c r="D15" s="79"/>
      <c r="E15" s="79"/>
      <c r="F15" s="79"/>
      <c r="G15" s="79"/>
      <c r="H15" s="79"/>
      <c r="I15" s="79"/>
      <c r="J15" s="80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69"/>
      <c r="V15" s="3"/>
      <c r="W15" s="3"/>
      <c r="X15" s="3"/>
      <c r="Y15" s="3"/>
      <c r="Z15" s="3"/>
    </row>
    <row r="16" spans="1:26" ht="26.25" customHeight="1" x14ac:dyDescent="0.35">
      <c r="A16" s="64" t="s">
        <v>87</v>
      </c>
      <c r="B16" s="82">
        <f t="shared" ref="B16:H16" si="8">+B13+B10+B7+B4</f>
        <v>0</v>
      </c>
      <c r="C16" s="82">
        <f t="shared" si="8"/>
        <v>0</v>
      </c>
      <c r="D16" s="82">
        <f t="shared" si="8"/>
        <v>0</v>
      </c>
      <c r="E16" s="82">
        <f t="shared" si="8"/>
        <v>0</v>
      </c>
      <c r="F16" s="82">
        <f t="shared" si="8"/>
        <v>0</v>
      </c>
      <c r="G16" s="82">
        <f t="shared" si="8"/>
        <v>0</v>
      </c>
      <c r="H16" s="82">
        <f t="shared" si="8"/>
        <v>0</v>
      </c>
      <c r="I16" s="74">
        <f t="shared" ref="I16:I17" si="9">SUM(B16:H16)</f>
        <v>0</v>
      </c>
      <c r="J16" s="75">
        <f t="shared" ref="J16:J17" si="10">+I16-I16/11</f>
        <v>0</v>
      </c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69"/>
      <c r="V16" s="3"/>
      <c r="W16" s="3"/>
      <c r="X16" s="3"/>
      <c r="Y16" s="3"/>
      <c r="Z16" s="3"/>
    </row>
    <row r="17" spans="1:26" ht="26.25" customHeight="1" x14ac:dyDescent="0.35">
      <c r="A17" s="76" t="s">
        <v>88</v>
      </c>
      <c r="B17" s="83">
        <f t="shared" ref="B17:H17" si="11">+B14+B11+B8+B5</f>
        <v>0</v>
      </c>
      <c r="C17" s="83">
        <f t="shared" si="11"/>
        <v>0</v>
      </c>
      <c r="D17" s="83">
        <f t="shared" si="11"/>
        <v>0</v>
      </c>
      <c r="E17" s="83">
        <f t="shared" si="11"/>
        <v>0</v>
      </c>
      <c r="F17" s="83">
        <f t="shared" si="11"/>
        <v>0</v>
      </c>
      <c r="G17" s="83">
        <f t="shared" si="11"/>
        <v>0</v>
      </c>
      <c r="H17" s="83">
        <f t="shared" si="11"/>
        <v>0</v>
      </c>
      <c r="I17" s="77">
        <f t="shared" si="9"/>
        <v>0</v>
      </c>
      <c r="J17" s="78">
        <f t="shared" si="10"/>
        <v>0</v>
      </c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69"/>
      <c r="V17" s="3"/>
      <c r="W17" s="3"/>
      <c r="X17" s="3"/>
      <c r="Y17" s="3"/>
      <c r="Z17" s="3"/>
    </row>
    <row r="18" spans="1:26" ht="27" customHeight="1" x14ac:dyDescent="0.35">
      <c r="A18" s="84" t="s">
        <v>92</v>
      </c>
      <c r="B18" s="85">
        <f t="shared" ref="B18:J18" si="12">SUM(B16:B17)</f>
        <v>0</v>
      </c>
      <c r="C18" s="85">
        <f t="shared" si="12"/>
        <v>0</v>
      </c>
      <c r="D18" s="85">
        <f t="shared" si="12"/>
        <v>0</v>
      </c>
      <c r="E18" s="85">
        <f t="shared" si="12"/>
        <v>0</v>
      </c>
      <c r="F18" s="85">
        <f t="shared" si="12"/>
        <v>0</v>
      </c>
      <c r="G18" s="85">
        <f t="shared" si="12"/>
        <v>0</v>
      </c>
      <c r="H18" s="85">
        <f t="shared" si="12"/>
        <v>0</v>
      </c>
      <c r="I18" s="85">
        <f t="shared" si="12"/>
        <v>0</v>
      </c>
      <c r="J18" s="86">
        <f t="shared" si="12"/>
        <v>0</v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69"/>
      <c r="V18" s="3"/>
      <c r="W18" s="3"/>
      <c r="X18" s="3"/>
      <c r="Y18" s="3"/>
      <c r="Z18" s="3"/>
    </row>
    <row r="19" spans="1:26" ht="27" customHeight="1" x14ac:dyDescent="0.35">
      <c r="A19" s="87" t="s">
        <v>93</v>
      </c>
      <c r="B19" s="65" t="s">
        <v>78</v>
      </c>
      <c r="C19" s="66" t="s">
        <v>79</v>
      </c>
      <c r="D19" s="66" t="s">
        <v>80</v>
      </c>
      <c r="E19" s="66" t="s">
        <v>81</v>
      </c>
      <c r="F19" s="66" t="s">
        <v>82</v>
      </c>
      <c r="G19" s="66" t="s">
        <v>83</v>
      </c>
      <c r="H19" s="66" t="s">
        <v>84</v>
      </c>
      <c r="I19" s="66" t="s">
        <v>9</v>
      </c>
      <c r="J19" s="67" t="s">
        <v>85</v>
      </c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69"/>
      <c r="V19" s="3"/>
      <c r="W19" s="3"/>
      <c r="X19" s="3"/>
      <c r="Y19" s="3"/>
      <c r="Z19" s="3"/>
    </row>
    <row r="20" spans="1:26" ht="26.25" customHeight="1" x14ac:dyDescent="0.35">
      <c r="A20" s="64" t="s">
        <v>87</v>
      </c>
      <c r="B20" s="74">
        <f>+'Mon 20'!B56</f>
        <v>0</v>
      </c>
      <c r="C20" s="74">
        <f>+'Tue 21'!B56</f>
        <v>0</v>
      </c>
      <c r="D20" s="74">
        <f>+'Wed 22'!B56</f>
        <v>0</v>
      </c>
      <c r="E20" s="74">
        <f>+'Thu 23'!B56</f>
        <v>0</v>
      </c>
      <c r="F20" s="74">
        <f>+'Fri 24'!$B$56</f>
        <v>0</v>
      </c>
      <c r="G20" s="74">
        <f>+'Sat 25'!$B$56</f>
        <v>0</v>
      </c>
      <c r="H20" s="74">
        <f>+'Sun 26'!$B$56</f>
        <v>0</v>
      </c>
      <c r="I20" s="74">
        <f t="shared" ref="I20:I21" si="13">SUM(B20:H20)</f>
        <v>0</v>
      </c>
      <c r="J20" s="75">
        <f t="shared" ref="J20:J21" si="14">+I20-I20/11</f>
        <v>0</v>
      </c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9"/>
      <c r="V20" s="3"/>
      <c r="W20" s="3"/>
      <c r="X20" s="3"/>
      <c r="Y20" s="3"/>
      <c r="Z20" s="3"/>
    </row>
    <row r="21" spans="1:26" ht="26.25" customHeight="1" x14ac:dyDescent="0.35">
      <c r="A21" s="76" t="s">
        <v>88</v>
      </c>
      <c r="B21" s="77">
        <f>+'Mon 20'!B63</f>
        <v>0</v>
      </c>
      <c r="C21" s="77">
        <f>+'Tue 21'!B63</f>
        <v>0</v>
      </c>
      <c r="D21" s="77">
        <f>+'Wed 22'!B63</f>
        <v>0</v>
      </c>
      <c r="E21" s="77">
        <f>+'Thu 23'!B63</f>
        <v>0</v>
      </c>
      <c r="F21" s="77">
        <f>+'Fri 24'!$B$63</f>
        <v>0</v>
      </c>
      <c r="G21" s="77">
        <f>+'Sat 25'!$B$63</f>
        <v>0</v>
      </c>
      <c r="H21" s="77">
        <f>+'Sun 26'!$B$63</f>
        <v>0</v>
      </c>
      <c r="I21" s="77">
        <f t="shared" si="13"/>
        <v>0</v>
      </c>
      <c r="J21" s="78">
        <f t="shared" si="14"/>
        <v>0</v>
      </c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69"/>
      <c r="V21" s="3"/>
      <c r="W21" s="3"/>
      <c r="X21" s="3"/>
      <c r="Y21" s="3"/>
      <c r="Z21" s="3"/>
    </row>
    <row r="22" spans="1:26" ht="26.25" customHeight="1" x14ac:dyDescent="0.35">
      <c r="A22" s="88" t="s">
        <v>94</v>
      </c>
      <c r="B22" s="79"/>
      <c r="C22" s="79"/>
      <c r="D22" s="79"/>
      <c r="E22" s="79"/>
      <c r="F22" s="79"/>
      <c r="G22" s="79"/>
      <c r="H22" s="79"/>
      <c r="I22" s="79"/>
      <c r="J22" s="80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69"/>
      <c r="V22" s="3"/>
      <c r="W22" s="3"/>
      <c r="X22" s="3"/>
      <c r="Y22" s="3"/>
      <c r="Z22" s="3"/>
    </row>
    <row r="23" spans="1:26" ht="26.25" customHeight="1" x14ac:dyDescent="0.35">
      <c r="A23" s="64" t="s">
        <v>87</v>
      </c>
      <c r="B23" s="74">
        <f>+'Mon 20'!C56</f>
        <v>0</v>
      </c>
      <c r="C23" s="74">
        <f>+'Tue 21'!C56</f>
        <v>0</v>
      </c>
      <c r="D23" s="74">
        <f>+'Wed 22'!C56</f>
        <v>0</v>
      </c>
      <c r="E23" s="74">
        <f>+'Thu 23'!C56</f>
        <v>0</v>
      </c>
      <c r="F23" s="74">
        <f>+'Fri 24'!$C$56</f>
        <v>0</v>
      </c>
      <c r="G23" s="74">
        <f>+'Sat 25'!$C$56</f>
        <v>0</v>
      </c>
      <c r="H23" s="74">
        <f>+'Sun 26'!$C$56</f>
        <v>0</v>
      </c>
      <c r="I23" s="74">
        <f t="shared" ref="I23:I24" si="15">SUM(B23:H23)</f>
        <v>0</v>
      </c>
      <c r="J23" s="75">
        <f t="shared" ref="J23:J24" si="16">+I23-I23/11</f>
        <v>0</v>
      </c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69"/>
      <c r="V23" s="3"/>
      <c r="W23" s="3"/>
      <c r="X23" s="3"/>
      <c r="Y23" s="3"/>
      <c r="Z23" s="3"/>
    </row>
    <row r="24" spans="1:26" ht="26.25" customHeight="1" x14ac:dyDescent="0.35">
      <c r="A24" s="64" t="s">
        <v>88</v>
      </c>
      <c r="B24" s="89">
        <f>+'Mon 20'!C63</f>
        <v>0</v>
      </c>
      <c r="C24" s="89">
        <f>+'Tue 21'!C63</f>
        <v>0</v>
      </c>
      <c r="D24" s="89">
        <f>+'Wed 22'!C63</f>
        <v>0</v>
      </c>
      <c r="E24" s="89">
        <f>+'Thu 23'!C63</f>
        <v>0</v>
      </c>
      <c r="F24" s="89">
        <f>+'Fri 24'!$C$63</f>
        <v>0</v>
      </c>
      <c r="G24" s="89">
        <f>+'Sat 25'!$C$63</f>
        <v>0</v>
      </c>
      <c r="H24" s="89">
        <f>+'Sun 26'!$C$63</f>
        <v>0</v>
      </c>
      <c r="I24" s="89">
        <f t="shared" si="15"/>
        <v>0</v>
      </c>
      <c r="J24" s="90">
        <f t="shared" si="16"/>
        <v>0</v>
      </c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69"/>
      <c r="V24" s="3"/>
      <c r="W24" s="3"/>
      <c r="X24" s="3"/>
      <c r="Y24" s="3"/>
      <c r="Z24" s="3"/>
    </row>
    <row r="25" spans="1:26" ht="27" customHeight="1" x14ac:dyDescent="0.35">
      <c r="A25" s="84" t="s">
        <v>95</v>
      </c>
      <c r="B25" s="92">
        <f t="shared" ref="B25:J25" si="17">SUM(B20:B24)</f>
        <v>0</v>
      </c>
      <c r="C25" s="92">
        <f t="shared" si="17"/>
        <v>0</v>
      </c>
      <c r="D25" s="92">
        <f t="shared" si="17"/>
        <v>0</v>
      </c>
      <c r="E25" s="92">
        <f t="shared" si="17"/>
        <v>0</v>
      </c>
      <c r="F25" s="92">
        <f t="shared" si="17"/>
        <v>0</v>
      </c>
      <c r="G25" s="92">
        <f t="shared" si="17"/>
        <v>0</v>
      </c>
      <c r="H25" s="92">
        <f t="shared" si="17"/>
        <v>0</v>
      </c>
      <c r="I25" s="92">
        <f t="shared" si="17"/>
        <v>0</v>
      </c>
      <c r="J25" s="93">
        <f t="shared" si="17"/>
        <v>0</v>
      </c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69"/>
      <c r="V25" s="3"/>
      <c r="W25" s="3"/>
      <c r="X25" s="3"/>
      <c r="Y25" s="3"/>
      <c r="Z25" s="3"/>
    </row>
    <row r="26" spans="1:26" ht="27" customHeight="1" x14ac:dyDescent="0.35">
      <c r="A26" s="64"/>
      <c r="B26" s="73"/>
      <c r="C26" s="73"/>
      <c r="D26" s="73"/>
      <c r="E26" s="73"/>
      <c r="F26" s="73"/>
      <c r="G26" s="73"/>
      <c r="H26" s="73"/>
      <c r="I26" s="73"/>
      <c r="J26" s="94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69"/>
      <c r="V26" s="3"/>
      <c r="W26" s="3"/>
      <c r="X26" s="3"/>
      <c r="Y26" s="3"/>
      <c r="Z26" s="3"/>
    </row>
    <row r="27" spans="1:26" ht="26.25" customHeight="1" x14ac:dyDescent="0.35">
      <c r="A27" s="95" t="s">
        <v>96</v>
      </c>
      <c r="B27" s="96">
        <f>+'Mon 20'!E43</f>
        <v>0</v>
      </c>
      <c r="C27" s="96">
        <f>+'Tue 21'!E43</f>
        <v>0</v>
      </c>
      <c r="D27" s="96">
        <f>+'Wed 22'!E43</f>
        <v>0</v>
      </c>
      <c r="E27" s="96">
        <f>+'Thu 23'!E43</f>
        <v>0</v>
      </c>
      <c r="F27" s="96">
        <f>+'Fri 24'!$E$43</f>
        <v>0</v>
      </c>
      <c r="G27" s="96">
        <f>+'Sat 25'!$E$43</f>
        <v>0</v>
      </c>
      <c r="H27" s="96">
        <f>+'Sun 26'!$E$43</f>
        <v>0</v>
      </c>
      <c r="I27" s="96">
        <f>SUM(B27:H27)</f>
        <v>0</v>
      </c>
      <c r="J27" s="97">
        <f>+I27-I27/11</f>
        <v>0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69"/>
      <c r="V27" s="3"/>
      <c r="W27" s="3"/>
      <c r="X27" s="3"/>
      <c r="Y27" s="3"/>
      <c r="Z27" s="3"/>
    </row>
    <row r="28" spans="1:26" ht="26.25" customHeight="1" x14ac:dyDescent="0.35">
      <c r="A28" s="64"/>
      <c r="B28" s="3"/>
      <c r="C28" s="3"/>
      <c r="D28" s="3"/>
      <c r="E28" s="3"/>
      <c r="F28" s="3"/>
      <c r="G28" s="3"/>
      <c r="H28" s="3"/>
      <c r="I28" s="3"/>
      <c r="J28" s="98"/>
      <c r="K28" s="3"/>
      <c r="L28" s="3"/>
      <c r="M28" s="3"/>
      <c r="N28" s="3"/>
      <c r="O28" s="3"/>
      <c r="P28" s="3"/>
      <c r="Q28" s="3"/>
      <c r="R28" s="3"/>
      <c r="S28" s="3"/>
      <c r="T28" s="3"/>
      <c r="U28" s="69"/>
      <c r="V28" s="3"/>
      <c r="W28" s="3"/>
      <c r="X28" s="3"/>
      <c r="Y28" s="3"/>
      <c r="Z28" s="3"/>
    </row>
    <row r="29" spans="1:26" ht="26.25" customHeight="1" x14ac:dyDescent="0.35">
      <c r="A29" s="99" t="s">
        <v>97</v>
      </c>
      <c r="B29" s="96">
        <f>+'Mon 20'!E44</f>
        <v>0</v>
      </c>
      <c r="C29" s="96">
        <f>+'Tue 21'!E44</f>
        <v>0</v>
      </c>
      <c r="D29" s="96">
        <f>+'Wed 22'!E44</f>
        <v>0</v>
      </c>
      <c r="E29" s="96">
        <f>+'Thu 23'!E44</f>
        <v>0</v>
      </c>
      <c r="F29" s="96">
        <f>+'Fri 24'!$E$44</f>
        <v>0</v>
      </c>
      <c r="G29" s="96">
        <f>+'Sat 25'!$E$44</f>
        <v>0</v>
      </c>
      <c r="H29" s="96">
        <f>+'Sun 26'!$E$44</f>
        <v>0</v>
      </c>
      <c r="I29" s="96">
        <f>SUM(B29:H29)</f>
        <v>0</v>
      </c>
      <c r="J29" s="97">
        <f>+I29-I29/11</f>
        <v>0</v>
      </c>
      <c r="K29" s="3"/>
      <c r="L29" s="3"/>
      <c r="M29" s="3"/>
      <c r="N29" s="3"/>
      <c r="O29" s="3"/>
      <c r="P29" s="3"/>
      <c r="Q29" s="3"/>
      <c r="R29" s="3"/>
      <c r="S29" s="3"/>
      <c r="T29" s="3"/>
      <c r="U29" s="69"/>
      <c r="V29" s="3"/>
      <c r="W29" s="3"/>
      <c r="X29" s="3"/>
      <c r="Y29" s="3"/>
      <c r="Z29" s="3"/>
    </row>
    <row r="30" spans="1:26" ht="26.25" customHeight="1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69"/>
      <c r="V30" s="3"/>
      <c r="W30" s="3"/>
      <c r="X30" s="3"/>
      <c r="Y30" s="3"/>
      <c r="Z30" s="3"/>
    </row>
    <row r="31" spans="1:26" ht="26.25" customHeigh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69"/>
      <c r="V31" s="3"/>
      <c r="W31" s="3"/>
      <c r="X31" s="3"/>
      <c r="Y31" s="3"/>
      <c r="Z31" s="3"/>
    </row>
    <row r="32" spans="1:26" ht="26.25" customHeight="1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69"/>
      <c r="V32" s="3"/>
      <c r="W32" s="3"/>
      <c r="X32" s="3"/>
      <c r="Y32" s="3"/>
      <c r="Z32" s="3"/>
    </row>
    <row r="33" spans="1:26" ht="26.2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26.25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26.2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26.2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26.25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26.2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26.2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26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26.25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26.2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26.25" customHeigh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26.2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26.25" customHeigh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26.2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26.25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26.25" customHeigh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26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26.25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26.2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26.25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26.2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26.25" customHeigh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26.25" customHeigh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26.25" customHeigh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26.25" customHeigh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26.2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26.25" customHeigh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26.25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26.25" customHeigh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26.25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26.25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26.25" customHeigh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26.25" customHeigh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26.2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26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26.25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26.25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26.25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26.25" customHeigh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26.25" customHeigh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26.25" customHeigh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26.25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26.2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26.25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26.25" customHeigh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26.25" customHeigh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26.25" customHeigh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26.25" customHeigh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26.25" customHeigh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26.25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26.25" customHeigh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26.25" customHeigh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26.25" customHeigh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26.25" customHeigh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26.25" customHeigh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26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26.25" customHeigh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26.25" customHeigh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26.25" customHeigh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26.25" customHeigh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26.25" customHeigh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26.25" customHeigh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26.25" customHeight="1" x14ac:dyDescent="0.35">
      <c r="A95" s="4"/>
      <c r="B95" s="4"/>
      <c r="C95" s="4"/>
      <c r="D95" s="4"/>
      <c r="E95" s="4"/>
      <c r="F95" s="4"/>
      <c r="G95" s="4"/>
      <c r="H95" s="4"/>
      <c r="I95" s="4"/>
      <c r="J95" s="4"/>
      <c r="K95" s="3"/>
      <c r="L95" s="3"/>
      <c r="M95" s="3"/>
      <c r="N95" s="3"/>
      <c r="O95" s="3"/>
      <c r="P95" s="3"/>
      <c r="Q95" s="3"/>
      <c r="R95" s="3"/>
      <c r="S95" s="3"/>
      <c r="T95" s="3"/>
      <c r="U95" s="69"/>
      <c r="V95" s="3"/>
      <c r="W95" s="3"/>
      <c r="X95" s="3"/>
      <c r="Y95" s="3"/>
      <c r="Z95" s="3"/>
    </row>
    <row r="96" spans="1:26" ht="26.25" customHeight="1" x14ac:dyDescent="0.35">
      <c r="A96" s="4"/>
      <c r="B96" s="4"/>
      <c r="C96" s="4"/>
      <c r="D96" s="4"/>
      <c r="E96" s="4"/>
      <c r="F96" s="4"/>
      <c r="G96" s="4"/>
      <c r="H96" s="4"/>
      <c r="I96" s="4"/>
      <c r="J96" s="4"/>
      <c r="K96" s="3"/>
      <c r="L96" s="3"/>
      <c r="M96" s="3"/>
      <c r="N96" s="3"/>
      <c r="O96" s="3"/>
      <c r="P96" s="3"/>
      <c r="Q96" s="3"/>
      <c r="R96" s="3"/>
      <c r="S96" s="3"/>
      <c r="T96" s="3"/>
      <c r="U96" s="69"/>
      <c r="V96" s="3"/>
      <c r="W96" s="3"/>
      <c r="X96" s="3"/>
      <c r="Y96" s="3"/>
      <c r="Z96" s="3"/>
    </row>
    <row r="97" spans="1:26" ht="26.25" customHeight="1" x14ac:dyDescent="0.35">
      <c r="A97" s="4"/>
      <c r="B97" s="4"/>
      <c r="C97" s="4"/>
      <c r="D97" s="4"/>
      <c r="E97" s="4"/>
      <c r="F97" s="4"/>
      <c r="G97" s="4"/>
      <c r="H97" s="4"/>
      <c r="I97" s="4"/>
      <c r="J97" s="4"/>
      <c r="K97" s="3"/>
      <c r="L97" s="3"/>
      <c r="M97" s="3"/>
      <c r="N97" s="3"/>
      <c r="O97" s="3"/>
      <c r="P97" s="3"/>
      <c r="Q97" s="3"/>
      <c r="R97" s="3"/>
      <c r="S97" s="3"/>
      <c r="T97" s="3"/>
      <c r="U97" s="69"/>
      <c r="V97" s="3"/>
      <c r="W97" s="3"/>
      <c r="X97" s="3"/>
      <c r="Y97" s="3"/>
      <c r="Z97" s="3"/>
    </row>
    <row r="98" spans="1:26" ht="26.25" customHeight="1" x14ac:dyDescent="0.35">
      <c r="A98" s="4"/>
      <c r="B98" s="4"/>
      <c r="C98" s="4"/>
      <c r="D98" s="4"/>
      <c r="E98" s="4"/>
      <c r="F98" s="4"/>
      <c r="G98" s="4"/>
      <c r="H98" s="4"/>
      <c r="I98" s="4"/>
      <c r="J98" s="4"/>
      <c r="K98" s="3"/>
      <c r="L98" s="3"/>
      <c r="M98" s="3"/>
      <c r="N98" s="3"/>
      <c r="O98" s="3"/>
      <c r="P98" s="3"/>
      <c r="Q98" s="3"/>
      <c r="R98" s="3"/>
      <c r="S98" s="3"/>
      <c r="T98" s="3"/>
      <c r="U98" s="69"/>
      <c r="V98" s="3"/>
      <c r="W98" s="3"/>
      <c r="X98" s="3"/>
      <c r="Y98" s="3"/>
      <c r="Z98" s="3"/>
    </row>
    <row r="99" spans="1:26" ht="26.25" customHeight="1" x14ac:dyDescent="0.35">
      <c r="A99" s="4"/>
      <c r="B99" s="4"/>
      <c r="C99" s="4"/>
      <c r="D99" s="4"/>
      <c r="E99" s="4"/>
      <c r="F99" s="4"/>
      <c r="G99" s="4"/>
      <c r="H99" s="4"/>
      <c r="I99" s="4"/>
      <c r="J99" s="4"/>
      <c r="K99" s="3"/>
      <c r="L99" s="3"/>
      <c r="M99" s="3"/>
      <c r="N99" s="3"/>
      <c r="O99" s="3"/>
      <c r="P99" s="3"/>
      <c r="Q99" s="3"/>
      <c r="R99" s="3"/>
      <c r="S99" s="3"/>
      <c r="T99" s="3"/>
      <c r="U99" s="69"/>
      <c r="V99" s="3"/>
      <c r="W99" s="3"/>
      <c r="X99" s="3"/>
      <c r="Y99" s="3"/>
      <c r="Z99" s="3"/>
    </row>
    <row r="100" spans="1:26" ht="26.25" customHeight="1" x14ac:dyDescent="0.3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69"/>
      <c r="V100" s="3"/>
      <c r="W100" s="3"/>
      <c r="X100" s="3"/>
      <c r="Y100" s="3"/>
      <c r="Z100" s="3"/>
    </row>
    <row r="101" spans="1:26" ht="26.25" customHeight="1" x14ac:dyDescent="0.3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69"/>
      <c r="V101" s="3"/>
      <c r="W101" s="3"/>
      <c r="X101" s="3"/>
      <c r="Y101" s="3"/>
      <c r="Z101" s="3"/>
    </row>
    <row r="102" spans="1:26" ht="26.25" customHeight="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69"/>
      <c r="V102" s="3"/>
      <c r="W102" s="3"/>
      <c r="X102" s="3"/>
      <c r="Y102" s="3"/>
      <c r="Z102" s="3"/>
    </row>
    <row r="103" spans="1:26" ht="26.25" customHeight="1" x14ac:dyDescent="0.3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69"/>
      <c r="V103" s="3"/>
      <c r="W103" s="3"/>
      <c r="X103" s="3"/>
      <c r="Y103" s="3"/>
      <c r="Z103" s="3"/>
    </row>
    <row r="104" spans="1:26" ht="26.25" customHeight="1" x14ac:dyDescent="0.3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69"/>
      <c r="V104" s="3"/>
      <c r="W104" s="3"/>
      <c r="X104" s="3"/>
      <c r="Y104" s="3"/>
      <c r="Z104" s="3"/>
    </row>
    <row r="105" spans="1:26" ht="26.25" customHeight="1" x14ac:dyDescent="0.3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69"/>
      <c r="V105" s="3"/>
      <c r="W105" s="3"/>
      <c r="X105" s="3"/>
      <c r="Y105" s="3"/>
      <c r="Z105" s="3"/>
    </row>
    <row r="106" spans="1:26" ht="26.25" customHeight="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69"/>
      <c r="V106" s="3"/>
      <c r="W106" s="3"/>
      <c r="X106" s="3"/>
      <c r="Y106" s="3"/>
      <c r="Z106" s="3"/>
    </row>
    <row r="107" spans="1:26" ht="26.25" customHeight="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69"/>
      <c r="V107" s="3"/>
      <c r="W107" s="3"/>
      <c r="X107" s="3"/>
      <c r="Y107" s="3"/>
      <c r="Z107" s="3"/>
    </row>
    <row r="108" spans="1:26" ht="26.25" customHeight="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69"/>
      <c r="V108" s="3"/>
      <c r="W108" s="3"/>
      <c r="X108" s="3"/>
      <c r="Y108" s="3"/>
      <c r="Z108" s="3"/>
    </row>
    <row r="109" spans="1:26" ht="26.25" customHeight="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69"/>
      <c r="V109" s="3"/>
      <c r="W109" s="3"/>
      <c r="X109" s="3"/>
      <c r="Y109" s="3"/>
      <c r="Z109" s="3"/>
    </row>
    <row r="110" spans="1:26" ht="26.25" customHeight="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69"/>
      <c r="V110" s="3"/>
      <c r="W110" s="3"/>
      <c r="X110" s="3"/>
      <c r="Y110" s="3"/>
      <c r="Z110" s="3"/>
    </row>
    <row r="111" spans="1:26" ht="26.25" customHeight="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69"/>
      <c r="V111" s="3"/>
      <c r="W111" s="3"/>
      <c r="X111" s="3"/>
      <c r="Y111" s="3"/>
      <c r="Z111" s="3"/>
    </row>
    <row r="112" spans="1:26" ht="26.25" customHeight="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69"/>
      <c r="V112" s="3"/>
      <c r="W112" s="3"/>
      <c r="X112" s="3"/>
      <c r="Y112" s="3"/>
      <c r="Z112" s="3"/>
    </row>
    <row r="113" spans="1:26" ht="26.25" customHeight="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69"/>
      <c r="V113" s="3"/>
      <c r="W113" s="3"/>
      <c r="X113" s="3"/>
      <c r="Y113" s="3"/>
      <c r="Z113" s="3"/>
    </row>
    <row r="114" spans="1:26" ht="26.25" customHeight="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69"/>
      <c r="V114" s="3"/>
      <c r="W114" s="3"/>
      <c r="X114" s="3"/>
      <c r="Y114" s="3"/>
      <c r="Z114" s="3"/>
    </row>
    <row r="115" spans="1:26" ht="26.25" customHeight="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69"/>
      <c r="V115" s="3"/>
      <c r="W115" s="3"/>
      <c r="X115" s="3"/>
      <c r="Y115" s="3"/>
      <c r="Z115" s="3"/>
    </row>
    <row r="116" spans="1:26" ht="26.25" customHeight="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69"/>
      <c r="V116" s="3"/>
      <c r="W116" s="3"/>
      <c r="X116" s="3"/>
      <c r="Y116" s="3"/>
      <c r="Z116" s="3"/>
    </row>
    <row r="117" spans="1:26" ht="26.25" customHeight="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69"/>
      <c r="V117" s="3"/>
      <c r="W117" s="3"/>
      <c r="X117" s="3"/>
      <c r="Y117" s="3"/>
      <c r="Z117" s="3"/>
    </row>
    <row r="118" spans="1:26" ht="26.25" customHeight="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69"/>
      <c r="V118" s="3"/>
      <c r="W118" s="3"/>
      <c r="X118" s="3"/>
      <c r="Y118" s="3"/>
      <c r="Z118" s="3"/>
    </row>
    <row r="119" spans="1:26" ht="26.25" customHeight="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69"/>
      <c r="V119" s="3"/>
      <c r="W119" s="3"/>
      <c r="X119" s="3"/>
      <c r="Y119" s="3"/>
      <c r="Z119" s="3"/>
    </row>
    <row r="120" spans="1:26" ht="26.25" customHeight="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69"/>
      <c r="V120" s="3"/>
      <c r="W120" s="3"/>
      <c r="X120" s="3"/>
      <c r="Y120" s="3"/>
      <c r="Z120" s="3"/>
    </row>
    <row r="121" spans="1:26" ht="26.25" customHeight="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69"/>
      <c r="V121" s="3"/>
      <c r="W121" s="3"/>
      <c r="X121" s="3"/>
      <c r="Y121" s="3"/>
      <c r="Z121" s="3"/>
    </row>
    <row r="122" spans="1:26" ht="26.25" customHeight="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69"/>
      <c r="V122" s="3"/>
      <c r="W122" s="3"/>
      <c r="X122" s="3"/>
      <c r="Y122" s="3"/>
      <c r="Z122" s="3"/>
    </row>
    <row r="123" spans="1:26" ht="26.25" customHeight="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69"/>
      <c r="V123" s="3"/>
      <c r="W123" s="3"/>
      <c r="X123" s="3"/>
      <c r="Y123" s="3"/>
      <c r="Z123" s="3"/>
    </row>
    <row r="124" spans="1:26" ht="26.25" customHeight="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69"/>
      <c r="V124" s="3"/>
      <c r="W124" s="3"/>
      <c r="X124" s="3"/>
      <c r="Y124" s="3"/>
      <c r="Z124" s="3"/>
    </row>
    <row r="125" spans="1:26" ht="26.25" customHeight="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69"/>
      <c r="V125" s="3"/>
      <c r="W125" s="3"/>
      <c r="X125" s="3"/>
      <c r="Y125" s="3"/>
      <c r="Z125" s="3"/>
    </row>
    <row r="126" spans="1:26" ht="26.25" customHeight="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69"/>
      <c r="V126" s="3"/>
      <c r="W126" s="3"/>
      <c r="X126" s="3"/>
      <c r="Y126" s="3"/>
      <c r="Z126" s="3"/>
    </row>
    <row r="127" spans="1:26" ht="26.25" customHeight="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69"/>
      <c r="V127" s="3"/>
      <c r="W127" s="3"/>
      <c r="X127" s="3"/>
      <c r="Y127" s="3"/>
      <c r="Z127" s="3"/>
    </row>
    <row r="128" spans="1:26" ht="26.25" customHeight="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69"/>
      <c r="V128" s="3"/>
      <c r="W128" s="3"/>
      <c r="X128" s="3"/>
      <c r="Y128" s="3"/>
      <c r="Z128" s="3"/>
    </row>
    <row r="129" spans="1:26" ht="26.25" customHeight="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69"/>
      <c r="V129" s="3"/>
      <c r="W129" s="3"/>
      <c r="X129" s="3"/>
      <c r="Y129" s="3"/>
      <c r="Z129" s="3"/>
    </row>
    <row r="130" spans="1:26" ht="26.25" customHeight="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69"/>
      <c r="V130" s="3"/>
      <c r="W130" s="3"/>
      <c r="X130" s="3"/>
      <c r="Y130" s="3"/>
      <c r="Z130" s="3"/>
    </row>
    <row r="131" spans="1:26" ht="26.25" customHeight="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69"/>
      <c r="V131" s="3"/>
      <c r="W131" s="3"/>
      <c r="X131" s="3"/>
      <c r="Y131" s="3"/>
      <c r="Z131" s="3"/>
    </row>
    <row r="132" spans="1:26" ht="26.25" customHeight="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69"/>
      <c r="V132" s="3"/>
      <c r="W132" s="3"/>
      <c r="X132" s="3"/>
      <c r="Y132" s="3"/>
      <c r="Z132" s="3"/>
    </row>
    <row r="133" spans="1:26" ht="26.25" customHeight="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69"/>
      <c r="V133" s="3"/>
      <c r="W133" s="3"/>
      <c r="X133" s="3"/>
      <c r="Y133" s="3"/>
      <c r="Z133" s="3"/>
    </row>
    <row r="134" spans="1:26" ht="26.25" customHeight="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69"/>
      <c r="V134" s="3"/>
      <c r="W134" s="3"/>
      <c r="X134" s="3"/>
      <c r="Y134" s="3"/>
      <c r="Z134" s="3"/>
    </row>
    <row r="135" spans="1:26" ht="26.25" customHeight="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69"/>
      <c r="V135" s="3"/>
      <c r="W135" s="3"/>
      <c r="X135" s="3"/>
      <c r="Y135" s="3"/>
      <c r="Z135" s="3"/>
    </row>
    <row r="136" spans="1:26" ht="26.25" customHeight="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69"/>
      <c r="V136" s="3"/>
      <c r="W136" s="3"/>
      <c r="X136" s="3"/>
      <c r="Y136" s="3"/>
      <c r="Z136" s="3"/>
    </row>
    <row r="137" spans="1:26" ht="26.25" customHeight="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69"/>
      <c r="V137" s="3"/>
      <c r="W137" s="3"/>
      <c r="X137" s="3"/>
      <c r="Y137" s="3"/>
      <c r="Z137" s="3"/>
    </row>
    <row r="138" spans="1:26" ht="26.25" customHeight="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69"/>
      <c r="V138" s="3"/>
      <c r="W138" s="3"/>
      <c r="X138" s="3"/>
      <c r="Y138" s="3"/>
      <c r="Z138" s="3"/>
    </row>
    <row r="139" spans="1:26" ht="26.25" customHeight="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69"/>
      <c r="V139" s="3"/>
      <c r="W139" s="3"/>
      <c r="X139" s="3"/>
      <c r="Y139" s="3"/>
      <c r="Z139" s="3"/>
    </row>
    <row r="140" spans="1:26" ht="26.25" customHeight="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69"/>
      <c r="V140" s="3"/>
      <c r="W140" s="3"/>
      <c r="X140" s="3"/>
      <c r="Y140" s="3"/>
      <c r="Z140" s="3"/>
    </row>
    <row r="141" spans="1:26" ht="26.25" customHeight="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69"/>
      <c r="V141" s="3"/>
      <c r="W141" s="3"/>
      <c r="X141" s="3"/>
      <c r="Y141" s="3"/>
      <c r="Z141" s="3"/>
    </row>
    <row r="142" spans="1:26" ht="26.25" customHeight="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69"/>
      <c r="V142" s="3"/>
      <c r="W142" s="3"/>
      <c r="X142" s="3"/>
      <c r="Y142" s="3"/>
      <c r="Z142" s="3"/>
    </row>
    <row r="143" spans="1:26" ht="26.25" customHeight="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69"/>
      <c r="V143" s="3"/>
      <c r="W143" s="3"/>
      <c r="X143" s="3"/>
      <c r="Y143" s="3"/>
      <c r="Z143" s="3"/>
    </row>
    <row r="144" spans="1:26" ht="26.25" customHeight="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69"/>
      <c r="V144" s="3"/>
      <c r="W144" s="3"/>
      <c r="X144" s="3"/>
      <c r="Y144" s="3"/>
      <c r="Z144" s="3"/>
    </row>
    <row r="145" spans="1:26" ht="26.25" customHeight="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69"/>
      <c r="V145" s="3"/>
      <c r="W145" s="3"/>
      <c r="X145" s="3"/>
      <c r="Y145" s="3"/>
      <c r="Z145" s="3"/>
    </row>
    <row r="146" spans="1:26" ht="26.25" customHeight="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69"/>
      <c r="V146" s="3"/>
      <c r="W146" s="3"/>
      <c r="X146" s="3"/>
      <c r="Y146" s="3"/>
      <c r="Z146" s="3"/>
    </row>
    <row r="147" spans="1:26" ht="26.25" customHeight="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69"/>
      <c r="V147" s="3"/>
      <c r="W147" s="3"/>
      <c r="X147" s="3"/>
      <c r="Y147" s="3"/>
      <c r="Z147" s="3"/>
    </row>
    <row r="148" spans="1:26" ht="26.25" customHeight="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69"/>
      <c r="V148" s="3"/>
      <c r="W148" s="3"/>
      <c r="X148" s="3"/>
      <c r="Y148" s="3"/>
      <c r="Z148" s="3"/>
    </row>
    <row r="149" spans="1:26" ht="26.25" customHeight="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69"/>
      <c r="V149" s="3"/>
      <c r="W149" s="3"/>
      <c r="X149" s="3"/>
      <c r="Y149" s="3"/>
      <c r="Z149" s="3"/>
    </row>
    <row r="150" spans="1:26" ht="26.25" customHeight="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69"/>
      <c r="V150" s="3"/>
      <c r="W150" s="3"/>
      <c r="X150" s="3"/>
      <c r="Y150" s="3"/>
      <c r="Z150" s="3"/>
    </row>
    <row r="151" spans="1:26" ht="26.25" customHeight="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69"/>
      <c r="V151" s="3"/>
      <c r="W151" s="3"/>
      <c r="X151" s="3"/>
      <c r="Y151" s="3"/>
      <c r="Z151" s="3"/>
    </row>
    <row r="152" spans="1:26" ht="26.25" customHeight="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69"/>
      <c r="V152" s="3"/>
      <c r="W152" s="3"/>
      <c r="X152" s="3"/>
      <c r="Y152" s="3"/>
      <c r="Z152" s="3"/>
    </row>
    <row r="153" spans="1:26" ht="26.25" customHeight="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69"/>
      <c r="V153" s="3"/>
      <c r="W153" s="3"/>
      <c r="X153" s="3"/>
      <c r="Y153" s="3"/>
      <c r="Z153" s="3"/>
    </row>
    <row r="154" spans="1:26" ht="26.25" customHeight="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69"/>
      <c r="V154" s="3"/>
      <c r="W154" s="3"/>
      <c r="X154" s="3"/>
      <c r="Y154" s="3"/>
      <c r="Z154" s="3"/>
    </row>
    <row r="155" spans="1:26" ht="26.25" customHeight="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69"/>
      <c r="V155" s="3"/>
      <c r="W155" s="3"/>
      <c r="X155" s="3"/>
      <c r="Y155" s="3"/>
      <c r="Z155" s="3"/>
    </row>
    <row r="156" spans="1:26" ht="26.25" customHeight="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69"/>
      <c r="V156" s="3"/>
      <c r="W156" s="3"/>
      <c r="X156" s="3"/>
      <c r="Y156" s="3"/>
      <c r="Z156" s="3"/>
    </row>
    <row r="157" spans="1:26" ht="26.25" customHeight="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69"/>
      <c r="V157" s="3"/>
      <c r="W157" s="3"/>
      <c r="X157" s="3"/>
      <c r="Y157" s="3"/>
      <c r="Z157" s="3"/>
    </row>
    <row r="158" spans="1:26" ht="26.25" customHeight="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69"/>
      <c r="V158" s="3"/>
      <c r="W158" s="3"/>
      <c r="X158" s="3"/>
      <c r="Y158" s="3"/>
      <c r="Z158" s="3"/>
    </row>
    <row r="159" spans="1:26" ht="26.25" customHeight="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69"/>
      <c r="V159" s="3"/>
      <c r="W159" s="3"/>
      <c r="X159" s="3"/>
      <c r="Y159" s="3"/>
      <c r="Z159" s="3"/>
    </row>
    <row r="160" spans="1:26" ht="26.25" customHeight="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69"/>
      <c r="V160" s="3"/>
      <c r="W160" s="3"/>
      <c r="X160" s="3"/>
      <c r="Y160" s="3"/>
      <c r="Z160" s="3"/>
    </row>
    <row r="161" spans="1:26" ht="26.25" customHeight="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69"/>
      <c r="V161" s="3"/>
      <c r="W161" s="3"/>
      <c r="X161" s="3"/>
      <c r="Y161" s="3"/>
      <c r="Z161" s="3"/>
    </row>
    <row r="162" spans="1:26" ht="26.25" customHeight="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69"/>
      <c r="V162" s="3"/>
      <c r="W162" s="3"/>
      <c r="X162" s="3"/>
      <c r="Y162" s="3"/>
      <c r="Z162" s="3"/>
    </row>
    <row r="163" spans="1:26" ht="26.25" customHeight="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69"/>
      <c r="V163" s="3"/>
      <c r="W163" s="3"/>
      <c r="X163" s="3"/>
      <c r="Y163" s="3"/>
      <c r="Z163" s="3"/>
    </row>
    <row r="164" spans="1:26" ht="26.25" customHeight="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69"/>
      <c r="V164" s="3"/>
      <c r="W164" s="3"/>
      <c r="X164" s="3"/>
      <c r="Y164" s="3"/>
      <c r="Z164" s="3"/>
    </row>
    <row r="165" spans="1:26" ht="26.25" customHeight="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69"/>
      <c r="V165" s="3"/>
      <c r="W165" s="3"/>
      <c r="X165" s="3"/>
      <c r="Y165" s="3"/>
      <c r="Z165" s="3"/>
    </row>
    <row r="166" spans="1:26" ht="26.25" customHeight="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69"/>
      <c r="V166" s="3"/>
      <c r="W166" s="3"/>
      <c r="X166" s="3"/>
      <c r="Y166" s="3"/>
      <c r="Z166" s="3"/>
    </row>
    <row r="167" spans="1:26" ht="26.25" customHeight="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69"/>
      <c r="V167" s="3"/>
      <c r="W167" s="3"/>
      <c r="X167" s="3"/>
      <c r="Y167" s="3"/>
      <c r="Z167" s="3"/>
    </row>
    <row r="168" spans="1:26" ht="26.25" customHeight="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69"/>
      <c r="V168" s="3"/>
      <c r="W168" s="3"/>
      <c r="X168" s="3"/>
      <c r="Y168" s="3"/>
      <c r="Z168" s="3"/>
    </row>
    <row r="169" spans="1:26" ht="26.25" customHeight="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69"/>
      <c r="V169" s="3"/>
      <c r="W169" s="3"/>
      <c r="X169" s="3"/>
      <c r="Y169" s="3"/>
      <c r="Z169" s="3"/>
    </row>
    <row r="170" spans="1:26" ht="26.25" customHeight="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69"/>
      <c r="V170" s="3"/>
      <c r="W170" s="3"/>
      <c r="X170" s="3"/>
      <c r="Y170" s="3"/>
      <c r="Z170" s="3"/>
    </row>
    <row r="171" spans="1:26" ht="26.25" customHeight="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69"/>
      <c r="V171" s="3"/>
      <c r="W171" s="3"/>
      <c r="X171" s="3"/>
      <c r="Y171" s="3"/>
      <c r="Z171" s="3"/>
    </row>
    <row r="172" spans="1:26" ht="26.25" customHeight="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69"/>
      <c r="V172" s="3"/>
      <c r="W172" s="3"/>
      <c r="X172" s="3"/>
      <c r="Y172" s="3"/>
      <c r="Z172" s="3"/>
    </row>
    <row r="173" spans="1:26" ht="26.25" customHeight="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69"/>
      <c r="V173" s="3"/>
      <c r="W173" s="3"/>
      <c r="X173" s="3"/>
      <c r="Y173" s="3"/>
      <c r="Z173" s="3"/>
    </row>
    <row r="174" spans="1:26" ht="26.25" customHeight="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69"/>
      <c r="V174" s="3"/>
      <c r="W174" s="3"/>
      <c r="X174" s="3"/>
      <c r="Y174" s="3"/>
      <c r="Z174" s="3"/>
    </row>
    <row r="175" spans="1:26" ht="26.25" customHeight="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69"/>
      <c r="V175" s="3"/>
      <c r="W175" s="3"/>
      <c r="X175" s="3"/>
      <c r="Y175" s="3"/>
      <c r="Z175" s="3"/>
    </row>
    <row r="176" spans="1:26" ht="26.25" customHeight="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69"/>
      <c r="V176" s="3"/>
      <c r="W176" s="3"/>
      <c r="X176" s="3"/>
      <c r="Y176" s="3"/>
      <c r="Z176" s="3"/>
    </row>
    <row r="177" spans="1:26" ht="26.25" customHeight="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69"/>
      <c r="V177" s="3"/>
      <c r="W177" s="3"/>
      <c r="X177" s="3"/>
      <c r="Y177" s="3"/>
      <c r="Z177" s="3"/>
    </row>
    <row r="178" spans="1:26" ht="26.25" customHeight="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69"/>
      <c r="V178" s="3"/>
      <c r="W178" s="3"/>
      <c r="X178" s="3"/>
      <c r="Y178" s="3"/>
      <c r="Z178" s="3"/>
    </row>
    <row r="179" spans="1:26" ht="26.25" customHeight="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69"/>
      <c r="V179" s="3"/>
      <c r="W179" s="3"/>
      <c r="X179" s="3"/>
      <c r="Y179" s="3"/>
      <c r="Z179" s="3"/>
    </row>
    <row r="180" spans="1:26" ht="26.25" customHeight="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69"/>
      <c r="V180" s="3"/>
      <c r="W180" s="3"/>
      <c r="X180" s="3"/>
      <c r="Y180" s="3"/>
      <c r="Z180" s="3"/>
    </row>
    <row r="181" spans="1:26" ht="26.25" customHeight="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69"/>
      <c r="V181" s="3"/>
      <c r="W181" s="3"/>
      <c r="X181" s="3"/>
      <c r="Y181" s="3"/>
      <c r="Z181" s="3"/>
    </row>
    <row r="182" spans="1:26" ht="26.25" customHeight="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69"/>
      <c r="V182" s="3"/>
      <c r="W182" s="3"/>
      <c r="X182" s="3"/>
      <c r="Y182" s="3"/>
      <c r="Z182" s="3"/>
    </row>
    <row r="183" spans="1:26" ht="26.25" customHeight="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69"/>
      <c r="V183" s="3"/>
      <c r="W183" s="3"/>
      <c r="X183" s="3"/>
      <c r="Y183" s="3"/>
      <c r="Z183" s="3"/>
    </row>
    <row r="184" spans="1:26" ht="26.25" customHeight="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69"/>
      <c r="V184" s="3"/>
      <c r="W184" s="3"/>
      <c r="X184" s="3"/>
      <c r="Y184" s="3"/>
      <c r="Z184" s="3"/>
    </row>
    <row r="185" spans="1:26" ht="26.25" customHeight="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69"/>
      <c r="V185" s="3"/>
      <c r="W185" s="3"/>
      <c r="X185" s="3"/>
      <c r="Y185" s="3"/>
      <c r="Z185" s="3"/>
    </row>
    <row r="186" spans="1:26" ht="26.25" customHeight="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69"/>
      <c r="V186" s="3"/>
      <c r="W186" s="3"/>
      <c r="X186" s="3"/>
      <c r="Y186" s="3"/>
      <c r="Z186" s="3"/>
    </row>
    <row r="187" spans="1:26" ht="26.25" customHeight="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69"/>
      <c r="V187" s="3"/>
      <c r="W187" s="3"/>
      <c r="X187" s="3"/>
      <c r="Y187" s="3"/>
      <c r="Z187" s="3"/>
    </row>
    <row r="188" spans="1:26" ht="26.25" customHeight="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69"/>
      <c r="V188" s="3"/>
      <c r="W188" s="3"/>
      <c r="X188" s="3"/>
      <c r="Y188" s="3"/>
      <c r="Z188" s="3"/>
    </row>
    <row r="189" spans="1:26" ht="26.25" customHeight="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69"/>
      <c r="V189" s="3"/>
      <c r="W189" s="3"/>
      <c r="X189" s="3"/>
      <c r="Y189" s="3"/>
      <c r="Z189" s="3"/>
    </row>
    <row r="190" spans="1:26" ht="26.25" customHeight="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69"/>
      <c r="V190" s="3"/>
      <c r="W190" s="3"/>
      <c r="X190" s="3"/>
      <c r="Y190" s="3"/>
      <c r="Z190" s="3"/>
    </row>
    <row r="191" spans="1:26" ht="26.25" customHeight="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69"/>
      <c r="V191" s="3"/>
      <c r="W191" s="3"/>
      <c r="X191" s="3"/>
      <c r="Y191" s="3"/>
      <c r="Z191" s="3"/>
    </row>
    <row r="192" spans="1:26" ht="26.25" customHeight="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69"/>
      <c r="V192" s="3"/>
      <c r="W192" s="3"/>
      <c r="X192" s="3"/>
      <c r="Y192" s="3"/>
      <c r="Z192" s="3"/>
    </row>
    <row r="193" spans="1:26" ht="26.25" customHeight="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69"/>
      <c r="V193" s="3"/>
      <c r="W193" s="3"/>
      <c r="X193" s="3"/>
      <c r="Y193" s="3"/>
      <c r="Z193" s="3"/>
    </row>
    <row r="194" spans="1:26" ht="26.25" customHeight="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69"/>
      <c r="V194" s="3"/>
      <c r="W194" s="3"/>
      <c r="X194" s="3"/>
      <c r="Y194" s="3"/>
      <c r="Z194" s="3"/>
    </row>
    <row r="195" spans="1:26" ht="26.25" customHeight="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69"/>
      <c r="V195" s="3"/>
      <c r="W195" s="3"/>
      <c r="X195" s="3"/>
      <c r="Y195" s="3"/>
      <c r="Z195" s="3"/>
    </row>
    <row r="196" spans="1:26" ht="26.25" customHeight="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69"/>
      <c r="V196" s="3"/>
      <c r="W196" s="3"/>
      <c r="X196" s="3"/>
      <c r="Y196" s="3"/>
      <c r="Z196" s="3"/>
    </row>
    <row r="197" spans="1:26" ht="26.25" customHeight="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69"/>
      <c r="V197" s="3"/>
      <c r="W197" s="3"/>
      <c r="X197" s="3"/>
      <c r="Y197" s="3"/>
      <c r="Z197" s="3"/>
    </row>
    <row r="198" spans="1:26" ht="26.25" customHeight="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69"/>
      <c r="V198" s="3"/>
      <c r="W198" s="3"/>
      <c r="X198" s="3"/>
      <c r="Y198" s="3"/>
      <c r="Z198" s="3"/>
    </row>
    <row r="199" spans="1:26" ht="26.25" customHeight="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69"/>
      <c r="V199" s="3"/>
      <c r="W199" s="3"/>
      <c r="X199" s="3"/>
      <c r="Y199" s="3"/>
      <c r="Z199" s="3"/>
    </row>
    <row r="200" spans="1:26" ht="26.25" customHeight="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69"/>
      <c r="V200" s="3"/>
      <c r="W200" s="3"/>
      <c r="X200" s="3"/>
      <c r="Y200" s="3"/>
      <c r="Z200" s="3"/>
    </row>
    <row r="201" spans="1:26" ht="26.25" customHeight="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69"/>
      <c r="V201" s="3"/>
      <c r="W201" s="3"/>
      <c r="X201" s="3"/>
      <c r="Y201" s="3"/>
      <c r="Z201" s="3"/>
    </row>
    <row r="202" spans="1:26" ht="26.25" customHeight="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69"/>
      <c r="V202" s="3"/>
      <c r="W202" s="3"/>
      <c r="X202" s="3"/>
      <c r="Y202" s="3"/>
      <c r="Z202" s="3"/>
    </row>
    <row r="203" spans="1:26" ht="26.25" customHeight="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69"/>
      <c r="V203" s="3"/>
      <c r="W203" s="3"/>
      <c r="X203" s="3"/>
      <c r="Y203" s="3"/>
      <c r="Z203" s="3"/>
    </row>
    <row r="204" spans="1:26" ht="26.25" customHeight="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69"/>
      <c r="V204" s="3"/>
      <c r="W204" s="3"/>
      <c r="X204" s="3"/>
      <c r="Y204" s="3"/>
      <c r="Z204" s="3"/>
    </row>
    <row r="205" spans="1:26" ht="26.25" customHeight="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69"/>
      <c r="V205" s="3"/>
      <c r="W205" s="3"/>
      <c r="X205" s="3"/>
      <c r="Y205" s="3"/>
      <c r="Z205" s="3"/>
    </row>
    <row r="206" spans="1:26" ht="26.25" customHeight="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69"/>
      <c r="V206" s="3"/>
      <c r="W206" s="3"/>
      <c r="X206" s="3"/>
      <c r="Y206" s="3"/>
      <c r="Z206" s="3"/>
    </row>
    <row r="207" spans="1:26" ht="26.25" customHeight="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69"/>
      <c r="V207" s="3"/>
      <c r="W207" s="3"/>
      <c r="X207" s="3"/>
      <c r="Y207" s="3"/>
      <c r="Z207" s="3"/>
    </row>
    <row r="208" spans="1:26" ht="26.25" customHeight="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69"/>
      <c r="V208" s="3"/>
      <c r="W208" s="3"/>
      <c r="X208" s="3"/>
      <c r="Y208" s="3"/>
      <c r="Z208" s="3"/>
    </row>
    <row r="209" spans="1:26" ht="26.25" customHeight="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69"/>
      <c r="V209" s="3"/>
      <c r="W209" s="3"/>
      <c r="X209" s="3"/>
      <c r="Y209" s="3"/>
      <c r="Z209" s="3"/>
    </row>
    <row r="210" spans="1:26" ht="26.25" customHeight="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69"/>
      <c r="V210" s="3"/>
      <c r="W210" s="3"/>
      <c r="X210" s="3"/>
      <c r="Y210" s="3"/>
      <c r="Z210" s="3"/>
    </row>
    <row r="211" spans="1:26" ht="26.25" customHeight="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69"/>
      <c r="V211" s="3"/>
      <c r="W211" s="3"/>
      <c r="X211" s="3"/>
      <c r="Y211" s="3"/>
      <c r="Z211" s="3"/>
    </row>
    <row r="212" spans="1:26" ht="26.25" customHeight="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69"/>
      <c r="V212" s="3"/>
      <c r="W212" s="3"/>
      <c r="X212" s="3"/>
      <c r="Y212" s="3"/>
      <c r="Z212" s="3"/>
    </row>
    <row r="213" spans="1:26" ht="26.25" customHeight="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69"/>
      <c r="V213" s="3"/>
      <c r="W213" s="3"/>
      <c r="X213" s="3"/>
      <c r="Y213" s="3"/>
      <c r="Z213" s="3"/>
    </row>
    <row r="214" spans="1:26" ht="26.25" customHeight="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69"/>
      <c r="V214" s="3"/>
      <c r="W214" s="3"/>
      <c r="X214" s="3"/>
      <c r="Y214" s="3"/>
      <c r="Z214" s="3"/>
    </row>
    <row r="215" spans="1:26" ht="26.25" customHeight="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69"/>
      <c r="V215" s="3"/>
      <c r="W215" s="3"/>
      <c r="X215" s="3"/>
      <c r="Y215" s="3"/>
      <c r="Z215" s="3"/>
    </row>
    <row r="216" spans="1:26" ht="26.25" customHeight="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69"/>
      <c r="V216" s="3"/>
      <c r="W216" s="3"/>
      <c r="X216" s="3"/>
      <c r="Y216" s="3"/>
      <c r="Z216" s="3"/>
    </row>
    <row r="217" spans="1:26" ht="26.25" customHeight="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69"/>
      <c r="V217" s="3"/>
      <c r="W217" s="3"/>
      <c r="X217" s="3"/>
      <c r="Y217" s="3"/>
      <c r="Z217" s="3"/>
    </row>
    <row r="218" spans="1:26" ht="26.25" customHeight="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69"/>
      <c r="V218" s="3"/>
      <c r="W218" s="3"/>
      <c r="X218" s="3"/>
      <c r="Y218" s="3"/>
      <c r="Z218" s="3"/>
    </row>
    <row r="219" spans="1:26" ht="26.25" customHeight="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69"/>
      <c r="V219" s="3"/>
      <c r="W219" s="3"/>
      <c r="X219" s="3"/>
      <c r="Y219" s="3"/>
      <c r="Z219" s="3"/>
    </row>
    <row r="220" spans="1:26" ht="26.25" customHeight="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69"/>
      <c r="V220" s="3"/>
      <c r="W220" s="3"/>
      <c r="X220" s="3"/>
      <c r="Y220" s="3"/>
      <c r="Z220" s="3"/>
    </row>
    <row r="221" spans="1:26" ht="26.25" customHeight="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69"/>
      <c r="V221" s="3"/>
      <c r="W221" s="3"/>
      <c r="X221" s="3"/>
      <c r="Y221" s="3"/>
      <c r="Z221" s="3"/>
    </row>
    <row r="222" spans="1:26" ht="26.25" customHeight="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69"/>
      <c r="V222" s="3"/>
      <c r="W222" s="3"/>
      <c r="X222" s="3"/>
      <c r="Y222" s="3"/>
      <c r="Z222" s="3"/>
    </row>
    <row r="223" spans="1:26" ht="26.25" customHeight="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69"/>
      <c r="V223" s="3"/>
      <c r="W223" s="3"/>
      <c r="X223" s="3"/>
      <c r="Y223" s="3"/>
      <c r="Z223" s="3"/>
    </row>
    <row r="224" spans="1:26" ht="26.25" customHeight="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69"/>
      <c r="V224" s="3"/>
      <c r="W224" s="3"/>
      <c r="X224" s="3"/>
      <c r="Y224" s="3"/>
      <c r="Z224" s="3"/>
    </row>
    <row r="225" spans="1:26" ht="26.25" customHeight="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69"/>
      <c r="V225" s="3"/>
      <c r="W225" s="3"/>
      <c r="X225" s="3"/>
      <c r="Y225" s="3"/>
      <c r="Z225" s="3"/>
    </row>
    <row r="226" spans="1:26" ht="26.25" customHeight="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69"/>
      <c r="V226" s="3"/>
      <c r="W226" s="3"/>
      <c r="X226" s="3"/>
      <c r="Y226" s="3"/>
      <c r="Z226" s="3"/>
    </row>
    <row r="227" spans="1:26" ht="26.25" customHeight="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69"/>
      <c r="V227" s="3"/>
      <c r="W227" s="3"/>
      <c r="X227" s="3"/>
      <c r="Y227" s="3"/>
      <c r="Z227" s="3"/>
    </row>
    <row r="228" spans="1:26" ht="26.25" customHeight="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69"/>
      <c r="V228" s="3"/>
      <c r="W228" s="3"/>
      <c r="X228" s="3"/>
      <c r="Y228" s="3"/>
      <c r="Z228" s="3"/>
    </row>
    <row r="229" spans="1:26" ht="26.25" customHeight="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69"/>
      <c r="V229" s="3"/>
      <c r="W229" s="3"/>
      <c r="X229" s="3"/>
      <c r="Y229" s="3"/>
      <c r="Z229" s="3"/>
    </row>
    <row r="230" spans="1:26" ht="26.25" customHeight="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69"/>
      <c r="V230" s="3"/>
      <c r="W230" s="3"/>
      <c r="X230" s="3"/>
      <c r="Y230" s="3"/>
      <c r="Z230" s="3"/>
    </row>
    <row r="231" spans="1:26" ht="26.25" customHeight="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69"/>
      <c r="V231" s="3"/>
      <c r="W231" s="3"/>
      <c r="X231" s="3"/>
      <c r="Y231" s="3"/>
      <c r="Z231" s="3"/>
    </row>
    <row r="232" spans="1:26" ht="26.25" customHeight="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69"/>
      <c r="V232" s="3"/>
      <c r="W232" s="3"/>
      <c r="X232" s="3"/>
      <c r="Y232" s="3"/>
      <c r="Z232" s="3"/>
    </row>
    <row r="233" spans="1:26" ht="26.25" customHeight="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69"/>
      <c r="V233" s="3"/>
      <c r="W233" s="3"/>
      <c r="X233" s="3"/>
      <c r="Y233" s="3"/>
      <c r="Z233" s="3"/>
    </row>
    <row r="234" spans="1:26" ht="26.25" customHeight="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69"/>
      <c r="V234" s="3"/>
      <c r="W234" s="3"/>
      <c r="X234" s="3"/>
      <c r="Y234" s="3"/>
      <c r="Z234" s="3"/>
    </row>
    <row r="235" spans="1:26" ht="26.25" customHeight="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69"/>
      <c r="V235" s="3"/>
      <c r="W235" s="3"/>
      <c r="X235" s="3"/>
      <c r="Y235" s="3"/>
      <c r="Z235" s="3"/>
    </row>
    <row r="236" spans="1:26" ht="26.25" customHeight="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69"/>
      <c r="V236" s="3"/>
      <c r="W236" s="3"/>
      <c r="X236" s="3"/>
      <c r="Y236" s="3"/>
      <c r="Z236" s="3"/>
    </row>
    <row r="237" spans="1:26" ht="26.25" customHeight="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69"/>
      <c r="V237" s="3"/>
      <c r="W237" s="3"/>
      <c r="X237" s="3"/>
      <c r="Y237" s="3"/>
      <c r="Z237" s="3"/>
    </row>
    <row r="238" spans="1:26" ht="26.25" customHeight="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69"/>
      <c r="V238" s="3"/>
      <c r="W238" s="3"/>
      <c r="X238" s="3"/>
      <c r="Y238" s="3"/>
      <c r="Z238" s="3"/>
    </row>
    <row r="239" spans="1:26" ht="26.25" customHeight="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69"/>
      <c r="V239" s="3"/>
      <c r="W239" s="3"/>
      <c r="X239" s="3"/>
      <c r="Y239" s="3"/>
      <c r="Z239" s="3"/>
    </row>
    <row r="240" spans="1:26" ht="26.25" customHeight="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69"/>
      <c r="V240" s="3"/>
      <c r="W240" s="3"/>
      <c r="X240" s="3"/>
      <c r="Y240" s="3"/>
      <c r="Z240" s="3"/>
    </row>
    <row r="241" spans="1:26" ht="26.25" customHeight="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69"/>
      <c r="V241" s="3"/>
      <c r="W241" s="3"/>
      <c r="X241" s="3"/>
      <c r="Y241" s="3"/>
      <c r="Z241" s="3"/>
    </row>
    <row r="242" spans="1:26" ht="26.25" customHeight="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69"/>
      <c r="V242" s="3"/>
      <c r="W242" s="3"/>
      <c r="X242" s="3"/>
      <c r="Y242" s="3"/>
      <c r="Z242" s="3"/>
    </row>
    <row r="243" spans="1:26" ht="26.25" customHeight="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69"/>
      <c r="V243" s="3"/>
      <c r="W243" s="3"/>
      <c r="X243" s="3"/>
      <c r="Y243" s="3"/>
      <c r="Z243" s="3"/>
    </row>
    <row r="244" spans="1:26" ht="26.25" customHeight="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69"/>
      <c r="V244" s="3"/>
      <c r="W244" s="3"/>
      <c r="X244" s="3"/>
      <c r="Y244" s="3"/>
      <c r="Z244" s="3"/>
    </row>
    <row r="245" spans="1:26" ht="26.25" customHeight="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69"/>
      <c r="V245" s="3"/>
      <c r="W245" s="3"/>
      <c r="X245" s="3"/>
      <c r="Y245" s="3"/>
      <c r="Z245" s="3"/>
    </row>
    <row r="246" spans="1:26" ht="26.25" customHeight="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69"/>
      <c r="V246" s="3"/>
      <c r="W246" s="3"/>
      <c r="X246" s="3"/>
      <c r="Y246" s="3"/>
      <c r="Z246" s="3"/>
    </row>
    <row r="247" spans="1:26" ht="26.25" customHeight="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69"/>
      <c r="V247" s="3"/>
      <c r="W247" s="3"/>
      <c r="X247" s="3"/>
      <c r="Y247" s="3"/>
      <c r="Z247" s="3"/>
    </row>
    <row r="248" spans="1:26" ht="26.25" customHeight="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69"/>
      <c r="V248" s="3"/>
      <c r="W248" s="3"/>
      <c r="X248" s="3"/>
      <c r="Y248" s="3"/>
      <c r="Z248" s="3"/>
    </row>
    <row r="249" spans="1:26" ht="26.25" customHeight="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69"/>
      <c r="V249" s="3"/>
      <c r="W249" s="3"/>
      <c r="X249" s="3"/>
      <c r="Y249" s="3"/>
      <c r="Z249" s="3"/>
    </row>
    <row r="250" spans="1:26" ht="26.25" customHeight="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69"/>
      <c r="V250" s="3"/>
      <c r="W250" s="3"/>
      <c r="X250" s="3"/>
      <c r="Y250" s="3"/>
      <c r="Z250" s="3"/>
    </row>
    <row r="251" spans="1:26" ht="26.25" customHeight="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69"/>
      <c r="V251" s="3"/>
      <c r="W251" s="3"/>
      <c r="X251" s="3"/>
      <c r="Y251" s="3"/>
      <c r="Z251" s="3"/>
    </row>
    <row r="252" spans="1:26" ht="26.25" customHeight="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69"/>
      <c r="V252" s="3"/>
      <c r="W252" s="3"/>
      <c r="X252" s="3"/>
      <c r="Y252" s="3"/>
      <c r="Z252" s="3"/>
    </row>
    <row r="253" spans="1:26" ht="26.25" customHeight="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69"/>
      <c r="V253" s="3"/>
      <c r="W253" s="3"/>
      <c r="X253" s="3"/>
      <c r="Y253" s="3"/>
      <c r="Z253" s="3"/>
    </row>
    <row r="254" spans="1:26" ht="26.25" customHeight="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69"/>
      <c r="V254" s="3"/>
      <c r="W254" s="3"/>
      <c r="X254" s="3"/>
      <c r="Y254" s="3"/>
      <c r="Z254" s="3"/>
    </row>
    <row r="255" spans="1:26" ht="26.25" customHeight="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69"/>
      <c r="V255" s="3"/>
      <c r="W255" s="3"/>
      <c r="X255" s="3"/>
      <c r="Y255" s="3"/>
      <c r="Z255" s="3"/>
    </row>
    <row r="256" spans="1:26" ht="26.25" customHeight="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69"/>
      <c r="V256" s="3"/>
      <c r="W256" s="3"/>
      <c r="X256" s="3"/>
      <c r="Y256" s="3"/>
      <c r="Z256" s="3"/>
    </row>
    <row r="257" spans="1:26" ht="26.25" customHeight="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69"/>
      <c r="V257" s="3"/>
      <c r="W257" s="3"/>
      <c r="X257" s="3"/>
      <c r="Y257" s="3"/>
      <c r="Z257" s="3"/>
    </row>
    <row r="258" spans="1:26" ht="26.25" customHeight="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69"/>
      <c r="V258" s="3"/>
      <c r="W258" s="3"/>
      <c r="X258" s="3"/>
      <c r="Y258" s="3"/>
      <c r="Z258" s="3"/>
    </row>
    <row r="259" spans="1:26" ht="26.25" customHeight="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69"/>
      <c r="V259" s="3"/>
      <c r="W259" s="3"/>
      <c r="X259" s="3"/>
      <c r="Y259" s="3"/>
      <c r="Z259" s="3"/>
    </row>
    <row r="260" spans="1:26" ht="26.25" customHeight="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69"/>
      <c r="V260" s="3"/>
      <c r="W260" s="3"/>
      <c r="X260" s="3"/>
      <c r="Y260" s="3"/>
      <c r="Z260" s="3"/>
    </row>
    <row r="261" spans="1:26" ht="26.25" customHeight="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69"/>
      <c r="V261" s="3"/>
      <c r="W261" s="3"/>
      <c r="X261" s="3"/>
      <c r="Y261" s="3"/>
      <c r="Z261" s="3"/>
    </row>
    <row r="262" spans="1:26" ht="26.25" customHeight="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69"/>
      <c r="V262" s="3"/>
      <c r="W262" s="3"/>
      <c r="X262" s="3"/>
      <c r="Y262" s="3"/>
      <c r="Z262" s="3"/>
    </row>
    <row r="263" spans="1:26" ht="26.25" customHeight="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69"/>
      <c r="V263" s="3"/>
      <c r="W263" s="3"/>
      <c r="X263" s="3"/>
      <c r="Y263" s="3"/>
      <c r="Z263" s="3"/>
    </row>
    <row r="264" spans="1:26" ht="26.25" customHeight="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69"/>
      <c r="V264" s="3"/>
      <c r="W264" s="3"/>
      <c r="X264" s="3"/>
      <c r="Y264" s="3"/>
      <c r="Z264" s="3"/>
    </row>
    <row r="265" spans="1:26" ht="26.25" customHeight="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69"/>
      <c r="V265" s="3"/>
      <c r="W265" s="3"/>
      <c r="X265" s="3"/>
      <c r="Y265" s="3"/>
      <c r="Z265" s="3"/>
    </row>
    <row r="266" spans="1:26" ht="26.25" customHeight="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69"/>
      <c r="V266" s="3"/>
      <c r="W266" s="3"/>
      <c r="X266" s="3"/>
      <c r="Y266" s="3"/>
      <c r="Z266" s="3"/>
    </row>
    <row r="267" spans="1:26" ht="26.25" customHeight="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69"/>
      <c r="V267" s="3"/>
      <c r="W267" s="3"/>
      <c r="X267" s="3"/>
      <c r="Y267" s="3"/>
      <c r="Z267" s="3"/>
    </row>
    <row r="268" spans="1:26" ht="26.25" customHeight="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69"/>
      <c r="V268" s="3"/>
      <c r="W268" s="3"/>
      <c r="X268" s="3"/>
      <c r="Y268" s="3"/>
      <c r="Z268" s="3"/>
    </row>
    <row r="269" spans="1:26" ht="26.25" customHeight="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69"/>
      <c r="V269" s="3"/>
      <c r="W269" s="3"/>
      <c r="X269" s="3"/>
      <c r="Y269" s="3"/>
      <c r="Z269" s="3"/>
    </row>
    <row r="270" spans="1:26" ht="26.25" customHeight="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69"/>
      <c r="V270" s="3"/>
      <c r="W270" s="3"/>
      <c r="X270" s="3"/>
      <c r="Y270" s="3"/>
      <c r="Z270" s="3"/>
    </row>
    <row r="271" spans="1:26" ht="26.25" customHeight="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69"/>
      <c r="V271" s="3"/>
      <c r="W271" s="3"/>
      <c r="X271" s="3"/>
      <c r="Y271" s="3"/>
      <c r="Z271" s="3"/>
    </row>
    <row r="272" spans="1:26" ht="26.25" customHeight="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69"/>
      <c r="V272" s="3"/>
      <c r="W272" s="3"/>
      <c r="X272" s="3"/>
      <c r="Y272" s="3"/>
      <c r="Z272" s="3"/>
    </row>
    <row r="273" spans="1:26" ht="26.25" customHeight="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69"/>
      <c r="V273" s="3"/>
      <c r="W273" s="3"/>
      <c r="X273" s="3"/>
      <c r="Y273" s="3"/>
      <c r="Z273" s="3"/>
    </row>
    <row r="274" spans="1:26" ht="26.25" customHeight="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69"/>
      <c r="V274" s="3"/>
      <c r="W274" s="3"/>
      <c r="X274" s="3"/>
      <c r="Y274" s="3"/>
      <c r="Z274" s="3"/>
    </row>
    <row r="275" spans="1:26" ht="26.25" customHeight="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69"/>
      <c r="V275" s="3"/>
      <c r="W275" s="3"/>
      <c r="X275" s="3"/>
      <c r="Y275" s="3"/>
      <c r="Z275" s="3"/>
    </row>
    <row r="276" spans="1:26" ht="26.25" customHeight="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69"/>
      <c r="V276" s="3"/>
      <c r="W276" s="3"/>
      <c r="X276" s="3"/>
      <c r="Y276" s="3"/>
      <c r="Z276" s="3"/>
    </row>
    <row r="277" spans="1:26" ht="26.25" customHeight="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69"/>
      <c r="V277" s="3"/>
      <c r="W277" s="3"/>
      <c r="X277" s="3"/>
      <c r="Y277" s="3"/>
      <c r="Z277" s="3"/>
    </row>
    <row r="278" spans="1:26" ht="26.25" customHeight="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69"/>
      <c r="V278" s="3"/>
      <c r="W278" s="3"/>
      <c r="X278" s="3"/>
      <c r="Y278" s="3"/>
      <c r="Z278" s="3"/>
    </row>
    <row r="279" spans="1:26" ht="26.25" customHeight="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69"/>
      <c r="V279" s="3"/>
      <c r="W279" s="3"/>
      <c r="X279" s="3"/>
      <c r="Y279" s="3"/>
      <c r="Z279" s="3"/>
    </row>
    <row r="280" spans="1:26" ht="26.25" customHeight="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69"/>
      <c r="V280" s="3"/>
      <c r="W280" s="3"/>
      <c r="X280" s="3"/>
      <c r="Y280" s="3"/>
      <c r="Z280" s="3"/>
    </row>
    <row r="281" spans="1:26" ht="26.25" customHeight="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69"/>
      <c r="V281" s="3"/>
      <c r="W281" s="3"/>
      <c r="X281" s="3"/>
      <c r="Y281" s="3"/>
      <c r="Z281" s="3"/>
    </row>
    <row r="282" spans="1:26" ht="26.25" customHeight="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69"/>
      <c r="V282" s="3"/>
      <c r="W282" s="3"/>
      <c r="X282" s="3"/>
      <c r="Y282" s="3"/>
      <c r="Z282" s="3"/>
    </row>
    <row r="283" spans="1:26" ht="26.25" customHeight="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69"/>
      <c r="V283" s="3"/>
      <c r="W283" s="3"/>
      <c r="X283" s="3"/>
      <c r="Y283" s="3"/>
      <c r="Z283" s="3"/>
    </row>
    <row r="284" spans="1:26" ht="26.25" customHeight="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69"/>
      <c r="V284" s="3"/>
      <c r="W284" s="3"/>
      <c r="X284" s="3"/>
      <c r="Y284" s="3"/>
      <c r="Z284" s="3"/>
    </row>
    <row r="285" spans="1:26" ht="26.25" customHeight="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69"/>
      <c r="V285" s="3"/>
      <c r="W285" s="3"/>
      <c r="X285" s="3"/>
      <c r="Y285" s="3"/>
      <c r="Z285" s="3"/>
    </row>
    <row r="286" spans="1:26" ht="26.25" customHeight="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69"/>
      <c r="V286" s="3"/>
      <c r="W286" s="3"/>
      <c r="X286" s="3"/>
      <c r="Y286" s="3"/>
      <c r="Z286" s="3"/>
    </row>
    <row r="287" spans="1:26" ht="26.25" customHeight="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69"/>
      <c r="V287" s="3"/>
      <c r="W287" s="3"/>
      <c r="X287" s="3"/>
      <c r="Y287" s="3"/>
      <c r="Z287" s="3"/>
    </row>
    <row r="288" spans="1:26" ht="26.25" customHeight="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69"/>
      <c r="V288" s="3"/>
      <c r="W288" s="3"/>
      <c r="X288" s="3"/>
      <c r="Y288" s="3"/>
      <c r="Z288" s="3"/>
    </row>
    <row r="289" spans="1:26" ht="26.25" customHeight="1" x14ac:dyDescent="0.3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69"/>
      <c r="V289" s="3"/>
      <c r="W289" s="3"/>
      <c r="X289" s="3"/>
      <c r="Y289" s="3"/>
      <c r="Z289" s="3"/>
    </row>
    <row r="290" spans="1:26" ht="26.25" customHeight="1" x14ac:dyDescent="0.3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69"/>
      <c r="V290" s="3"/>
      <c r="W290" s="3"/>
      <c r="X290" s="3"/>
      <c r="Y290" s="3"/>
      <c r="Z290" s="3"/>
    </row>
    <row r="291" spans="1:26" ht="26.25" customHeight="1" x14ac:dyDescent="0.3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69"/>
      <c r="V291" s="3"/>
      <c r="W291" s="3"/>
      <c r="X291" s="3"/>
      <c r="Y291" s="3"/>
      <c r="Z291" s="3"/>
    </row>
    <row r="292" spans="1:26" ht="26.25" customHeight="1" x14ac:dyDescent="0.3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69"/>
      <c r="V292" s="3"/>
      <c r="W292" s="3"/>
      <c r="X292" s="3"/>
      <c r="Y292" s="3"/>
      <c r="Z292" s="3"/>
    </row>
    <row r="293" spans="1:26" ht="26.25" customHeight="1" x14ac:dyDescent="0.3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69"/>
      <c r="V293" s="3"/>
      <c r="W293" s="3"/>
      <c r="X293" s="3"/>
      <c r="Y293" s="3"/>
      <c r="Z293" s="3"/>
    </row>
    <row r="294" spans="1:26" ht="26.25" customHeight="1" x14ac:dyDescent="0.3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69"/>
      <c r="V294" s="3"/>
      <c r="W294" s="3"/>
      <c r="X294" s="3"/>
      <c r="Y294" s="3"/>
      <c r="Z294" s="3"/>
    </row>
    <row r="295" spans="1:26" ht="26.25" customHeight="1" x14ac:dyDescent="0.3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69"/>
      <c r="V295" s="3"/>
      <c r="W295" s="3"/>
      <c r="X295" s="3"/>
      <c r="Y295" s="3"/>
      <c r="Z295" s="3"/>
    </row>
    <row r="296" spans="1:26" ht="26.25" customHeight="1" x14ac:dyDescent="0.3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69"/>
      <c r="V296" s="3"/>
      <c r="W296" s="3"/>
      <c r="X296" s="3"/>
      <c r="Y296" s="3"/>
      <c r="Z296" s="3"/>
    </row>
    <row r="297" spans="1:26" ht="26.25" customHeight="1" x14ac:dyDescent="0.3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69"/>
      <c r="V297" s="3"/>
      <c r="W297" s="3"/>
      <c r="X297" s="3"/>
      <c r="Y297" s="3"/>
      <c r="Z297" s="3"/>
    </row>
    <row r="298" spans="1:26" ht="26.25" customHeight="1" x14ac:dyDescent="0.3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69"/>
      <c r="V298" s="3"/>
      <c r="W298" s="3"/>
      <c r="X298" s="3"/>
      <c r="Y298" s="3"/>
      <c r="Z298" s="3"/>
    </row>
    <row r="299" spans="1:26" ht="26.25" customHeight="1" x14ac:dyDescent="0.3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69"/>
      <c r="V299" s="3"/>
      <c r="W299" s="3"/>
      <c r="X299" s="3"/>
      <c r="Y299" s="3"/>
      <c r="Z299" s="3"/>
    </row>
    <row r="300" spans="1:26" ht="26.25" customHeight="1" x14ac:dyDescent="0.3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69"/>
      <c r="V300" s="3"/>
      <c r="W300" s="3"/>
      <c r="X300" s="3"/>
      <c r="Y300" s="3"/>
      <c r="Z300" s="3"/>
    </row>
    <row r="301" spans="1:26" ht="26.25" customHeight="1" x14ac:dyDescent="0.3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69"/>
      <c r="V301" s="3"/>
      <c r="W301" s="3"/>
      <c r="X301" s="3"/>
      <c r="Y301" s="3"/>
      <c r="Z301" s="3"/>
    </row>
    <row r="302" spans="1:26" ht="26.25" customHeight="1" x14ac:dyDescent="0.3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69"/>
      <c r="V302" s="3"/>
      <c r="W302" s="3"/>
      <c r="X302" s="3"/>
      <c r="Y302" s="3"/>
      <c r="Z302" s="3"/>
    </row>
    <row r="303" spans="1:26" ht="26.25" customHeight="1" x14ac:dyDescent="0.3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69"/>
      <c r="V303" s="3"/>
      <c r="W303" s="3"/>
      <c r="X303" s="3"/>
      <c r="Y303" s="3"/>
      <c r="Z303" s="3"/>
    </row>
    <row r="304" spans="1:26" ht="26.25" customHeight="1" x14ac:dyDescent="0.3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69"/>
      <c r="V304" s="3"/>
      <c r="W304" s="3"/>
      <c r="X304" s="3"/>
      <c r="Y304" s="3"/>
      <c r="Z304" s="3"/>
    </row>
    <row r="305" spans="1:26" ht="26.25" customHeight="1" x14ac:dyDescent="0.3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69"/>
      <c r="V305" s="3"/>
      <c r="W305" s="3"/>
      <c r="X305" s="3"/>
      <c r="Y305" s="3"/>
      <c r="Z305" s="3"/>
    </row>
    <row r="306" spans="1:26" ht="26.25" customHeight="1" x14ac:dyDescent="0.3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69"/>
      <c r="V306" s="3"/>
      <c r="W306" s="3"/>
      <c r="X306" s="3"/>
      <c r="Y306" s="3"/>
      <c r="Z306" s="3"/>
    </row>
    <row r="307" spans="1:26" ht="26.25" customHeight="1" x14ac:dyDescent="0.3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69"/>
      <c r="V307" s="3"/>
      <c r="W307" s="3"/>
      <c r="X307" s="3"/>
      <c r="Y307" s="3"/>
      <c r="Z307" s="3"/>
    </row>
    <row r="308" spans="1:26" ht="26.25" customHeight="1" x14ac:dyDescent="0.3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69"/>
      <c r="V308" s="3"/>
      <c r="W308" s="3"/>
      <c r="X308" s="3"/>
      <c r="Y308" s="3"/>
      <c r="Z308" s="3"/>
    </row>
    <row r="309" spans="1:26" ht="26.25" customHeight="1" x14ac:dyDescent="0.3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69"/>
      <c r="V309" s="3"/>
      <c r="W309" s="3"/>
      <c r="X309" s="3"/>
      <c r="Y309" s="3"/>
      <c r="Z309" s="3"/>
    </row>
    <row r="310" spans="1:26" ht="26.25" customHeight="1" x14ac:dyDescent="0.3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69"/>
      <c r="V310" s="3"/>
      <c r="W310" s="3"/>
      <c r="X310" s="3"/>
      <c r="Y310" s="3"/>
      <c r="Z310" s="3"/>
    </row>
    <row r="311" spans="1:26" ht="26.25" customHeight="1" x14ac:dyDescent="0.3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69"/>
      <c r="V311" s="3"/>
      <c r="W311" s="3"/>
      <c r="X311" s="3"/>
      <c r="Y311" s="3"/>
      <c r="Z311" s="3"/>
    </row>
    <row r="312" spans="1:26" ht="26.25" customHeight="1" x14ac:dyDescent="0.3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69"/>
      <c r="V312" s="3"/>
      <c r="W312" s="3"/>
      <c r="X312" s="3"/>
      <c r="Y312" s="3"/>
      <c r="Z312" s="3"/>
    </row>
    <row r="313" spans="1:26" ht="26.25" customHeight="1" x14ac:dyDescent="0.3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69"/>
      <c r="V313" s="3"/>
      <c r="W313" s="3"/>
      <c r="X313" s="3"/>
      <c r="Y313" s="3"/>
      <c r="Z313" s="3"/>
    </row>
    <row r="314" spans="1:26" ht="26.25" customHeight="1" x14ac:dyDescent="0.3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69"/>
      <c r="V314" s="3"/>
      <c r="W314" s="3"/>
      <c r="X314" s="3"/>
      <c r="Y314" s="3"/>
      <c r="Z314" s="3"/>
    </row>
    <row r="315" spans="1:26" ht="26.25" customHeight="1" x14ac:dyDescent="0.3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69"/>
      <c r="V315" s="3"/>
      <c r="W315" s="3"/>
      <c r="X315" s="3"/>
      <c r="Y315" s="3"/>
      <c r="Z315" s="3"/>
    </row>
    <row r="316" spans="1:26" ht="26.25" customHeight="1" x14ac:dyDescent="0.3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69"/>
      <c r="V316" s="3"/>
      <c r="W316" s="3"/>
      <c r="X316" s="3"/>
      <c r="Y316" s="3"/>
      <c r="Z316" s="3"/>
    </row>
    <row r="317" spans="1:26" ht="26.25" customHeight="1" x14ac:dyDescent="0.3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69"/>
      <c r="V317" s="3"/>
      <c r="W317" s="3"/>
      <c r="X317" s="3"/>
      <c r="Y317" s="3"/>
      <c r="Z317" s="3"/>
    </row>
    <row r="318" spans="1:26" ht="26.25" customHeight="1" x14ac:dyDescent="0.3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69"/>
      <c r="V318" s="3"/>
      <c r="W318" s="3"/>
      <c r="X318" s="3"/>
      <c r="Y318" s="3"/>
      <c r="Z318" s="3"/>
    </row>
    <row r="319" spans="1:26" ht="26.25" customHeight="1" x14ac:dyDescent="0.3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69"/>
      <c r="V319" s="3"/>
      <c r="W319" s="3"/>
      <c r="X319" s="3"/>
      <c r="Y319" s="3"/>
      <c r="Z319" s="3"/>
    </row>
    <row r="320" spans="1:26" ht="26.25" customHeight="1" x14ac:dyDescent="0.3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69"/>
      <c r="V320" s="3"/>
      <c r="W320" s="3"/>
      <c r="X320" s="3"/>
      <c r="Y320" s="3"/>
      <c r="Z320" s="3"/>
    </row>
    <row r="321" spans="1:26" ht="26.25" customHeight="1" x14ac:dyDescent="0.3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69"/>
      <c r="V321" s="3"/>
      <c r="W321" s="3"/>
      <c r="X321" s="3"/>
      <c r="Y321" s="3"/>
      <c r="Z321" s="3"/>
    </row>
    <row r="322" spans="1:26" ht="26.25" customHeight="1" x14ac:dyDescent="0.3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69"/>
      <c r="V322" s="3"/>
      <c r="W322" s="3"/>
      <c r="X322" s="3"/>
      <c r="Y322" s="3"/>
      <c r="Z322" s="3"/>
    </row>
    <row r="323" spans="1:26" ht="26.25" customHeight="1" x14ac:dyDescent="0.3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69"/>
      <c r="V323" s="3"/>
      <c r="W323" s="3"/>
      <c r="X323" s="3"/>
      <c r="Y323" s="3"/>
      <c r="Z323" s="3"/>
    </row>
    <row r="324" spans="1:26" ht="26.25" customHeight="1" x14ac:dyDescent="0.3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69"/>
      <c r="V324" s="3"/>
      <c r="W324" s="3"/>
      <c r="X324" s="3"/>
      <c r="Y324" s="3"/>
      <c r="Z324" s="3"/>
    </row>
    <row r="325" spans="1:26" ht="26.25" customHeight="1" x14ac:dyDescent="0.3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69"/>
      <c r="V325" s="3"/>
      <c r="W325" s="3"/>
      <c r="X325" s="3"/>
      <c r="Y325" s="3"/>
      <c r="Z325" s="3"/>
    </row>
    <row r="326" spans="1:26" ht="26.25" customHeight="1" x14ac:dyDescent="0.3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69"/>
      <c r="V326" s="3"/>
      <c r="W326" s="3"/>
      <c r="X326" s="3"/>
      <c r="Y326" s="3"/>
      <c r="Z326" s="3"/>
    </row>
    <row r="327" spans="1:26" ht="26.25" customHeight="1" x14ac:dyDescent="0.3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69"/>
      <c r="V327" s="3"/>
      <c r="W327" s="3"/>
      <c r="X327" s="3"/>
      <c r="Y327" s="3"/>
      <c r="Z327" s="3"/>
    </row>
    <row r="328" spans="1:26" ht="26.25" customHeight="1" x14ac:dyDescent="0.3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69"/>
      <c r="V328" s="3"/>
      <c r="W328" s="3"/>
      <c r="X328" s="3"/>
      <c r="Y328" s="3"/>
      <c r="Z328" s="3"/>
    </row>
    <row r="329" spans="1:26" ht="26.25" customHeight="1" x14ac:dyDescent="0.3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69"/>
      <c r="V329" s="3"/>
      <c r="W329" s="3"/>
      <c r="X329" s="3"/>
      <c r="Y329" s="3"/>
      <c r="Z329" s="3"/>
    </row>
    <row r="330" spans="1:26" ht="26.25" customHeight="1" x14ac:dyDescent="0.3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69"/>
      <c r="V330" s="3"/>
      <c r="W330" s="3"/>
      <c r="X330" s="3"/>
      <c r="Y330" s="3"/>
      <c r="Z330" s="3"/>
    </row>
    <row r="331" spans="1:26" ht="26.25" customHeight="1" x14ac:dyDescent="0.3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69"/>
      <c r="V331" s="3"/>
      <c r="W331" s="3"/>
      <c r="X331" s="3"/>
      <c r="Y331" s="3"/>
      <c r="Z331" s="3"/>
    </row>
    <row r="332" spans="1:26" ht="26.25" customHeight="1" x14ac:dyDescent="0.3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69"/>
      <c r="V332" s="3"/>
      <c r="W332" s="3"/>
      <c r="X332" s="3"/>
      <c r="Y332" s="3"/>
      <c r="Z332" s="3"/>
    </row>
    <row r="333" spans="1:26" ht="26.25" customHeight="1" x14ac:dyDescent="0.3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69"/>
      <c r="V333" s="3"/>
      <c r="W333" s="3"/>
      <c r="X333" s="3"/>
      <c r="Y333" s="3"/>
      <c r="Z333" s="3"/>
    </row>
    <row r="334" spans="1:26" ht="26.25" customHeight="1" x14ac:dyDescent="0.3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69"/>
      <c r="V334" s="3"/>
      <c r="W334" s="3"/>
      <c r="X334" s="3"/>
      <c r="Y334" s="3"/>
      <c r="Z334" s="3"/>
    </row>
    <row r="335" spans="1:26" ht="26.25" customHeight="1" x14ac:dyDescent="0.3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69"/>
      <c r="V335" s="3"/>
      <c r="W335" s="3"/>
      <c r="X335" s="3"/>
      <c r="Y335" s="3"/>
      <c r="Z335" s="3"/>
    </row>
    <row r="336" spans="1:26" ht="26.25" customHeight="1" x14ac:dyDescent="0.3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69"/>
      <c r="V336" s="3"/>
      <c r="W336" s="3"/>
      <c r="X336" s="3"/>
      <c r="Y336" s="3"/>
      <c r="Z336" s="3"/>
    </row>
    <row r="337" spans="1:26" ht="26.25" customHeight="1" x14ac:dyDescent="0.3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69"/>
      <c r="V337" s="3"/>
      <c r="W337" s="3"/>
      <c r="X337" s="3"/>
      <c r="Y337" s="3"/>
      <c r="Z337" s="3"/>
    </row>
    <row r="338" spans="1:26" ht="26.25" customHeight="1" x14ac:dyDescent="0.3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69"/>
      <c r="V338" s="3"/>
      <c r="W338" s="3"/>
      <c r="X338" s="3"/>
      <c r="Y338" s="3"/>
      <c r="Z338" s="3"/>
    </row>
    <row r="339" spans="1:26" ht="26.25" customHeight="1" x14ac:dyDescent="0.3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69"/>
      <c r="V339" s="3"/>
      <c r="W339" s="3"/>
      <c r="X339" s="3"/>
      <c r="Y339" s="3"/>
      <c r="Z339" s="3"/>
    </row>
    <row r="340" spans="1:26" ht="26.25" customHeight="1" x14ac:dyDescent="0.3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69"/>
      <c r="V340" s="3"/>
      <c r="W340" s="3"/>
      <c r="X340" s="3"/>
      <c r="Y340" s="3"/>
      <c r="Z340" s="3"/>
    </row>
    <row r="341" spans="1:26" ht="26.25" customHeight="1" x14ac:dyDescent="0.3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69"/>
      <c r="V341" s="3"/>
      <c r="W341" s="3"/>
      <c r="X341" s="3"/>
      <c r="Y341" s="3"/>
      <c r="Z341" s="3"/>
    </row>
    <row r="342" spans="1:26" ht="26.25" customHeight="1" x14ac:dyDescent="0.3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69"/>
      <c r="V342" s="3"/>
      <c r="W342" s="3"/>
      <c r="X342" s="3"/>
      <c r="Y342" s="3"/>
      <c r="Z342" s="3"/>
    </row>
    <row r="343" spans="1:26" ht="26.25" customHeight="1" x14ac:dyDescent="0.3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69"/>
      <c r="V343" s="3"/>
      <c r="W343" s="3"/>
      <c r="X343" s="3"/>
      <c r="Y343" s="3"/>
      <c r="Z343" s="3"/>
    </row>
    <row r="344" spans="1:26" ht="26.25" customHeight="1" x14ac:dyDescent="0.3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69"/>
      <c r="V344" s="3"/>
      <c r="W344" s="3"/>
      <c r="X344" s="3"/>
      <c r="Y344" s="3"/>
      <c r="Z344" s="3"/>
    </row>
    <row r="345" spans="1:26" ht="26.25" customHeight="1" x14ac:dyDescent="0.3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69"/>
      <c r="V345" s="3"/>
      <c r="W345" s="3"/>
      <c r="X345" s="3"/>
      <c r="Y345" s="3"/>
      <c r="Z345" s="3"/>
    </row>
    <row r="346" spans="1:26" ht="26.25" customHeight="1" x14ac:dyDescent="0.3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69"/>
      <c r="V346" s="3"/>
      <c r="W346" s="3"/>
      <c r="X346" s="3"/>
      <c r="Y346" s="3"/>
      <c r="Z346" s="3"/>
    </row>
    <row r="347" spans="1:26" ht="26.25" customHeight="1" x14ac:dyDescent="0.3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69"/>
      <c r="V347" s="3"/>
      <c r="W347" s="3"/>
      <c r="X347" s="3"/>
      <c r="Y347" s="3"/>
      <c r="Z347" s="3"/>
    </row>
    <row r="348" spans="1:26" ht="26.25" customHeight="1" x14ac:dyDescent="0.3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69"/>
      <c r="V348" s="3"/>
      <c r="W348" s="3"/>
      <c r="X348" s="3"/>
      <c r="Y348" s="3"/>
      <c r="Z348" s="3"/>
    </row>
    <row r="349" spans="1:26" ht="26.25" customHeight="1" x14ac:dyDescent="0.3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69"/>
      <c r="V349" s="3"/>
      <c r="W349" s="3"/>
      <c r="X349" s="3"/>
      <c r="Y349" s="3"/>
      <c r="Z349" s="3"/>
    </row>
    <row r="350" spans="1:26" ht="26.25" customHeight="1" x14ac:dyDescent="0.3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69"/>
      <c r="V350" s="3"/>
      <c r="W350" s="3"/>
      <c r="X350" s="3"/>
      <c r="Y350" s="3"/>
      <c r="Z350" s="3"/>
    </row>
    <row r="351" spans="1:26" ht="26.25" customHeight="1" x14ac:dyDescent="0.3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69"/>
      <c r="V351" s="3"/>
      <c r="W351" s="3"/>
      <c r="X351" s="3"/>
      <c r="Y351" s="3"/>
      <c r="Z351" s="3"/>
    </row>
    <row r="352" spans="1:26" ht="26.25" customHeight="1" x14ac:dyDescent="0.3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69"/>
      <c r="V352" s="3"/>
      <c r="W352" s="3"/>
      <c r="X352" s="3"/>
      <c r="Y352" s="3"/>
      <c r="Z352" s="3"/>
    </row>
    <row r="353" spans="1:26" ht="26.25" customHeight="1" x14ac:dyDescent="0.3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69"/>
      <c r="V353" s="3"/>
      <c r="W353" s="3"/>
      <c r="X353" s="3"/>
      <c r="Y353" s="3"/>
      <c r="Z353" s="3"/>
    </row>
    <row r="354" spans="1:26" ht="26.25" customHeight="1" x14ac:dyDescent="0.3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69"/>
      <c r="V354" s="3"/>
      <c r="W354" s="3"/>
      <c r="X354" s="3"/>
      <c r="Y354" s="3"/>
      <c r="Z354" s="3"/>
    </row>
    <row r="355" spans="1:26" ht="26.25" customHeight="1" x14ac:dyDescent="0.3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69"/>
      <c r="V355" s="3"/>
      <c r="W355" s="3"/>
      <c r="X355" s="3"/>
      <c r="Y355" s="3"/>
      <c r="Z355" s="3"/>
    </row>
    <row r="356" spans="1:26" ht="26.25" customHeight="1" x14ac:dyDescent="0.3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69"/>
      <c r="V356" s="3"/>
      <c r="W356" s="3"/>
      <c r="X356" s="3"/>
      <c r="Y356" s="3"/>
      <c r="Z356" s="3"/>
    </row>
    <row r="357" spans="1:26" ht="26.25" customHeight="1" x14ac:dyDescent="0.3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69"/>
      <c r="V357" s="3"/>
      <c r="W357" s="3"/>
      <c r="X357" s="3"/>
      <c r="Y357" s="3"/>
      <c r="Z357" s="3"/>
    </row>
    <row r="358" spans="1:26" ht="26.25" customHeight="1" x14ac:dyDescent="0.3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69"/>
      <c r="V358" s="3"/>
      <c r="W358" s="3"/>
      <c r="X358" s="3"/>
      <c r="Y358" s="3"/>
      <c r="Z358" s="3"/>
    </row>
    <row r="359" spans="1:26" ht="26.25" customHeight="1" x14ac:dyDescent="0.3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69"/>
      <c r="V359" s="3"/>
      <c r="W359" s="3"/>
      <c r="X359" s="3"/>
      <c r="Y359" s="3"/>
      <c r="Z359" s="3"/>
    </row>
    <row r="360" spans="1:26" ht="26.25" customHeight="1" x14ac:dyDescent="0.3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69"/>
      <c r="V360" s="3"/>
      <c r="W360" s="3"/>
      <c r="X360" s="3"/>
      <c r="Y360" s="3"/>
      <c r="Z360" s="3"/>
    </row>
    <row r="361" spans="1:26" ht="26.25" customHeight="1" x14ac:dyDescent="0.3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69"/>
      <c r="V361" s="3"/>
      <c r="W361" s="3"/>
      <c r="X361" s="3"/>
      <c r="Y361" s="3"/>
      <c r="Z361" s="3"/>
    </row>
    <row r="362" spans="1:26" ht="26.25" customHeight="1" x14ac:dyDescent="0.3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69"/>
      <c r="V362" s="3"/>
      <c r="W362" s="3"/>
      <c r="X362" s="3"/>
      <c r="Y362" s="3"/>
      <c r="Z362" s="3"/>
    </row>
    <row r="363" spans="1:26" ht="26.25" customHeight="1" x14ac:dyDescent="0.3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69"/>
      <c r="V363" s="3"/>
      <c r="W363" s="3"/>
      <c r="X363" s="3"/>
      <c r="Y363" s="3"/>
      <c r="Z363" s="3"/>
    </row>
    <row r="364" spans="1:26" ht="26.25" customHeight="1" x14ac:dyDescent="0.3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69"/>
      <c r="V364" s="3"/>
      <c r="W364" s="3"/>
      <c r="X364" s="3"/>
      <c r="Y364" s="3"/>
      <c r="Z364" s="3"/>
    </row>
    <row r="365" spans="1:26" ht="26.25" customHeight="1" x14ac:dyDescent="0.3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69"/>
      <c r="V365" s="3"/>
      <c r="W365" s="3"/>
      <c r="X365" s="3"/>
      <c r="Y365" s="3"/>
      <c r="Z365" s="3"/>
    </row>
    <row r="366" spans="1:26" ht="26.25" customHeight="1" x14ac:dyDescent="0.3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69"/>
      <c r="V366" s="3"/>
      <c r="W366" s="3"/>
      <c r="X366" s="3"/>
      <c r="Y366" s="3"/>
      <c r="Z366" s="3"/>
    </row>
    <row r="367" spans="1:26" ht="26.25" customHeight="1" x14ac:dyDescent="0.3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69"/>
      <c r="V367" s="3"/>
      <c r="W367" s="3"/>
      <c r="X367" s="3"/>
      <c r="Y367" s="3"/>
      <c r="Z367" s="3"/>
    </row>
    <row r="368" spans="1:26" ht="26.25" customHeight="1" x14ac:dyDescent="0.3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69"/>
      <c r="V368" s="3"/>
      <c r="W368" s="3"/>
      <c r="X368" s="3"/>
      <c r="Y368" s="3"/>
      <c r="Z368" s="3"/>
    </row>
    <row r="369" spans="1:26" ht="26.25" customHeight="1" x14ac:dyDescent="0.3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69"/>
      <c r="V369" s="3"/>
      <c r="W369" s="3"/>
      <c r="X369" s="3"/>
      <c r="Y369" s="3"/>
      <c r="Z369" s="3"/>
    </row>
    <row r="370" spans="1:26" ht="26.25" customHeight="1" x14ac:dyDescent="0.3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69"/>
      <c r="V370" s="3"/>
      <c r="W370" s="3"/>
      <c r="X370" s="3"/>
      <c r="Y370" s="3"/>
      <c r="Z370" s="3"/>
    </row>
    <row r="371" spans="1:26" ht="26.25" customHeight="1" x14ac:dyDescent="0.3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69"/>
      <c r="V371" s="3"/>
      <c r="W371" s="3"/>
      <c r="X371" s="3"/>
      <c r="Y371" s="3"/>
      <c r="Z371" s="3"/>
    </row>
    <row r="372" spans="1:26" ht="26.25" customHeight="1" x14ac:dyDescent="0.3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69"/>
      <c r="V372" s="3"/>
      <c r="W372" s="3"/>
      <c r="X372" s="3"/>
      <c r="Y372" s="3"/>
      <c r="Z372" s="3"/>
    </row>
    <row r="373" spans="1:26" ht="26.25" customHeight="1" x14ac:dyDescent="0.3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69"/>
      <c r="V373" s="3"/>
      <c r="W373" s="3"/>
      <c r="X373" s="3"/>
      <c r="Y373" s="3"/>
      <c r="Z373" s="3"/>
    </row>
    <row r="374" spans="1:26" ht="26.25" customHeight="1" x14ac:dyDescent="0.3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69"/>
      <c r="V374" s="3"/>
      <c r="W374" s="3"/>
      <c r="X374" s="3"/>
      <c r="Y374" s="3"/>
      <c r="Z374" s="3"/>
    </row>
    <row r="375" spans="1:26" ht="26.25" customHeight="1" x14ac:dyDescent="0.3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69"/>
      <c r="V375" s="3"/>
      <c r="W375" s="3"/>
      <c r="X375" s="3"/>
      <c r="Y375" s="3"/>
      <c r="Z375" s="3"/>
    </row>
    <row r="376" spans="1:26" ht="26.25" customHeight="1" x14ac:dyDescent="0.3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69"/>
      <c r="V376" s="3"/>
      <c r="W376" s="3"/>
      <c r="X376" s="3"/>
      <c r="Y376" s="3"/>
      <c r="Z376" s="3"/>
    </row>
    <row r="377" spans="1:26" ht="26.25" customHeight="1" x14ac:dyDescent="0.3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69"/>
      <c r="V377" s="3"/>
      <c r="W377" s="3"/>
      <c r="X377" s="3"/>
      <c r="Y377" s="3"/>
      <c r="Z377" s="3"/>
    </row>
    <row r="378" spans="1:26" ht="26.25" customHeight="1" x14ac:dyDescent="0.3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69"/>
      <c r="V378" s="3"/>
      <c r="W378" s="3"/>
      <c r="X378" s="3"/>
      <c r="Y378" s="3"/>
      <c r="Z378" s="3"/>
    </row>
    <row r="379" spans="1:26" ht="26.25" customHeight="1" x14ac:dyDescent="0.3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69"/>
      <c r="V379" s="3"/>
      <c r="W379" s="3"/>
      <c r="X379" s="3"/>
      <c r="Y379" s="3"/>
      <c r="Z379" s="3"/>
    </row>
    <row r="380" spans="1:26" ht="26.25" customHeight="1" x14ac:dyDescent="0.3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69"/>
      <c r="V380" s="3"/>
      <c r="W380" s="3"/>
      <c r="X380" s="3"/>
      <c r="Y380" s="3"/>
      <c r="Z380" s="3"/>
    </row>
    <row r="381" spans="1:26" ht="26.25" customHeight="1" x14ac:dyDescent="0.3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69"/>
      <c r="V381" s="3"/>
      <c r="W381" s="3"/>
      <c r="X381" s="3"/>
      <c r="Y381" s="3"/>
      <c r="Z381" s="3"/>
    </row>
    <row r="382" spans="1:26" ht="26.25" customHeight="1" x14ac:dyDescent="0.3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69"/>
      <c r="V382" s="3"/>
      <c r="W382" s="3"/>
      <c r="X382" s="3"/>
      <c r="Y382" s="3"/>
      <c r="Z382" s="3"/>
    </row>
    <row r="383" spans="1:26" ht="26.25" customHeight="1" x14ac:dyDescent="0.3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69"/>
      <c r="V383" s="3"/>
      <c r="W383" s="3"/>
      <c r="X383" s="3"/>
      <c r="Y383" s="3"/>
      <c r="Z383" s="3"/>
    </row>
    <row r="384" spans="1:26" ht="26.25" customHeight="1" x14ac:dyDescent="0.3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69"/>
      <c r="V384" s="3"/>
      <c r="W384" s="3"/>
      <c r="X384" s="3"/>
      <c r="Y384" s="3"/>
      <c r="Z384" s="3"/>
    </row>
    <row r="385" spans="1:26" ht="26.25" customHeight="1" x14ac:dyDescent="0.3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69"/>
      <c r="V385" s="3"/>
      <c r="W385" s="3"/>
      <c r="X385" s="3"/>
      <c r="Y385" s="3"/>
      <c r="Z385" s="3"/>
    </row>
    <row r="386" spans="1:26" ht="26.25" customHeight="1" x14ac:dyDescent="0.3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69"/>
      <c r="V386" s="3"/>
      <c r="W386" s="3"/>
      <c r="X386" s="3"/>
      <c r="Y386" s="3"/>
      <c r="Z386" s="3"/>
    </row>
    <row r="387" spans="1:26" ht="26.25" customHeight="1" x14ac:dyDescent="0.3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69"/>
      <c r="V387" s="3"/>
      <c r="W387" s="3"/>
      <c r="X387" s="3"/>
      <c r="Y387" s="3"/>
      <c r="Z387" s="3"/>
    </row>
    <row r="388" spans="1:26" ht="26.25" customHeight="1" x14ac:dyDescent="0.3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69"/>
      <c r="V388" s="3"/>
      <c r="W388" s="3"/>
      <c r="X388" s="3"/>
      <c r="Y388" s="3"/>
      <c r="Z388" s="3"/>
    </row>
    <row r="389" spans="1:26" ht="26.25" customHeight="1" x14ac:dyDescent="0.3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69"/>
      <c r="V389" s="3"/>
      <c r="W389" s="3"/>
      <c r="X389" s="3"/>
      <c r="Y389" s="3"/>
      <c r="Z389" s="3"/>
    </row>
    <row r="390" spans="1:26" ht="26.25" customHeight="1" x14ac:dyDescent="0.3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69"/>
      <c r="V390" s="3"/>
      <c r="W390" s="3"/>
      <c r="X390" s="3"/>
      <c r="Y390" s="3"/>
      <c r="Z390" s="3"/>
    </row>
    <row r="391" spans="1:26" ht="26.25" customHeight="1" x14ac:dyDescent="0.3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69"/>
      <c r="V391" s="3"/>
      <c r="W391" s="3"/>
      <c r="X391" s="3"/>
      <c r="Y391" s="3"/>
      <c r="Z391" s="3"/>
    </row>
    <row r="392" spans="1:26" ht="26.25" customHeight="1" x14ac:dyDescent="0.3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69"/>
      <c r="V392" s="3"/>
      <c r="W392" s="3"/>
      <c r="X392" s="3"/>
      <c r="Y392" s="3"/>
      <c r="Z392" s="3"/>
    </row>
    <row r="393" spans="1:26" ht="26.25" customHeight="1" x14ac:dyDescent="0.3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69"/>
      <c r="V393" s="3"/>
      <c r="W393" s="3"/>
      <c r="X393" s="3"/>
      <c r="Y393" s="3"/>
      <c r="Z393" s="3"/>
    </row>
    <row r="394" spans="1:26" ht="26.25" customHeight="1" x14ac:dyDescent="0.3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69"/>
      <c r="V394" s="3"/>
      <c r="W394" s="3"/>
      <c r="X394" s="3"/>
      <c r="Y394" s="3"/>
      <c r="Z394" s="3"/>
    </row>
    <row r="395" spans="1:26" ht="26.25" customHeight="1" x14ac:dyDescent="0.3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69"/>
      <c r="V395" s="3"/>
      <c r="W395" s="3"/>
      <c r="X395" s="3"/>
      <c r="Y395" s="3"/>
      <c r="Z395" s="3"/>
    </row>
    <row r="396" spans="1:26" ht="26.25" customHeight="1" x14ac:dyDescent="0.3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69"/>
      <c r="V396" s="3"/>
      <c r="W396" s="3"/>
      <c r="X396" s="3"/>
      <c r="Y396" s="3"/>
      <c r="Z396" s="3"/>
    </row>
    <row r="397" spans="1:26" ht="26.25" customHeight="1" x14ac:dyDescent="0.3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69"/>
      <c r="V397" s="3"/>
      <c r="W397" s="3"/>
      <c r="X397" s="3"/>
      <c r="Y397" s="3"/>
      <c r="Z397" s="3"/>
    </row>
    <row r="398" spans="1:26" ht="26.25" customHeight="1" x14ac:dyDescent="0.3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69"/>
      <c r="V398" s="3"/>
      <c r="W398" s="3"/>
      <c r="X398" s="3"/>
      <c r="Y398" s="3"/>
      <c r="Z398" s="3"/>
    </row>
    <row r="399" spans="1:26" ht="26.25" customHeight="1" x14ac:dyDescent="0.3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69"/>
      <c r="V399" s="3"/>
      <c r="W399" s="3"/>
      <c r="X399" s="3"/>
      <c r="Y399" s="3"/>
      <c r="Z399" s="3"/>
    </row>
    <row r="400" spans="1:26" ht="26.25" customHeight="1" x14ac:dyDescent="0.3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69"/>
      <c r="V400" s="3"/>
      <c r="W400" s="3"/>
      <c r="X400" s="3"/>
      <c r="Y400" s="3"/>
      <c r="Z400" s="3"/>
    </row>
    <row r="401" spans="1:26" ht="26.25" customHeight="1" x14ac:dyDescent="0.3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69"/>
      <c r="V401" s="3"/>
      <c r="W401" s="3"/>
      <c r="X401" s="3"/>
      <c r="Y401" s="3"/>
      <c r="Z401" s="3"/>
    </row>
    <row r="402" spans="1:26" ht="26.25" customHeight="1" x14ac:dyDescent="0.3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69"/>
      <c r="V402" s="3"/>
      <c r="W402" s="3"/>
      <c r="X402" s="3"/>
      <c r="Y402" s="3"/>
      <c r="Z402" s="3"/>
    </row>
    <row r="403" spans="1:26" ht="26.25" customHeight="1" x14ac:dyDescent="0.3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69"/>
      <c r="V403" s="3"/>
      <c r="W403" s="3"/>
      <c r="X403" s="3"/>
      <c r="Y403" s="3"/>
      <c r="Z403" s="3"/>
    </row>
    <row r="404" spans="1:26" ht="26.25" customHeight="1" x14ac:dyDescent="0.3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69"/>
      <c r="V404" s="3"/>
      <c r="W404" s="3"/>
      <c r="X404" s="3"/>
      <c r="Y404" s="3"/>
      <c r="Z404" s="3"/>
    </row>
    <row r="405" spans="1:26" ht="26.25" customHeight="1" x14ac:dyDescent="0.3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69"/>
      <c r="V405" s="3"/>
      <c r="W405" s="3"/>
      <c r="X405" s="3"/>
      <c r="Y405" s="3"/>
      <c r="Z405" s="3"/>
    </row>
    <row r="406" spans="1:26" ht="26.25" customHeight="1" x14ac:dyDescent="0.3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69"/>
      <c r="V406" s="3"/>
      <c r="W406" s="3"/>
      <c r="X406" s="3"/>
      <c r="Y406" s="3"/>
      <c r="Z406" s="3"/>
    </row>
    <row r="407" spans="1:26" ht="26.25" customHeight="1" x14ac:dyDescent="0.3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69"/>
      <c r="V407" s="3"/>
      <c r="W407" s="3"/>
      <c r="X407" s="3"/>
      <c r="Y407" s="3"/>
      <c r="Z407" s="3"/>
    </row>
    <row r="408" spans="1:26" ht="26.25" customHeight="1" x14ac:dyDescent="0.3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69"/>
      <c r="V408" s="3"/>
      <c r="W408" s="3"/>
      <c r="X408" s="3"/>
      <c r="Y408" s="3"/>
      <c r="Z408" s="3"/>
    </row>
    <row r="409" spans="1:26" ht="26.25" customHeight="1" x14ac:dyDescent="0.3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69"/>
      <c r="V409" s="3"/>
      <c r="W409" s="3"/>
      <c r="X409" s="3"/>
      <c r="Y409" s="3"/>
      <c r="Z409" s="3"/>
    </row>
    <row r="410" spans="1:26" ht="26.25" customHeight="1" x14ac:dyDescent="0.3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69"/>
      <c r="V410" s="3"/>
      <c r="W410" s="3"/>
      <c r="X410" s="3"/>
      <c r="Y410" s="3"/>
      <c r="Z410" s="3"/>
    </row>
    <row r="411" spans="1:26" ht="26.25" customHeight="1" x14ac:dyDescent="0.3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69"/>
      <c r="V411" s="3"/>
      <c r="W411" s="3"/>
      <c r="X411" s="3"/>
      <c r="Y411" s="3"/>
      <c r="Z411" s="3"/>
    </row>
    <row r="412" spans="1:26" ht="26.25" customHeight="1" x14ac:dyDescent="0.3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69"/>
      <c r="V412" s="3"/>
      <c r="W412" s="3"/>
      <c r="X412" s="3"/>
      <c r="Y412" s="3"/>
      <c r="Z412" s="3"/>
    </row>
    <row r="413" spans="1:26" ht="26.25" customHeight="1" x14ac:dyDescent="0.3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69"/>
      <c r="V413" s="3"/>
      <c r="W413" s="3"/>
      <c r="X413" s="3"/>
      <c r="Y413" s="3"/>
      <c r="Z413" s="3"/>
    </row>
    <row r="414" spans="1:26" ht="26.25" customHeight="1" x14ac:dyDescent="0.3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69"/>
      <c r="V414" s="3"/>
      <c r="W414" s="3"/>
      <c r="X414" s="3"/>
      <c r="Y414" s="3"/>
      <c r="Z414" s="3"/>
    </row>
    <row r="415" spans="1:26" ht="26.25" customHeight="1" x14ac:dyDescent="0.3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69"/>
      <c r="V415" s="3"/>
      <c r="W415" s="3"/>
      <c r="X415" s="3"/>
      <c r="Y415" s="3"/>
      <c r="Z415" s="3"/>
    </row>
    <row r="416" spans="1:26" ht="26.25" customHeight="1" x14ac:dyDescent="0.3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69"/>
      <c r="V416" s="3"/>
      <c r="W416" s="3"/>
      <c r="X416" s="3"/>
      <c r="Y416" s="3"/>
      <c r="Z416" s="3"/>
    </row>
    <row r="417" spans="1:26" ht="26.25" customHeight="1" x14ac:dyDescent="0.3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69"/>
      <c r="V417" s="3"/>
      <c r="W417" s="3"/>
      <c r="X417" s="3"/>
      <c r="Y417" s="3"/>
      <c r="Z417" s="3"/>
    </row>
    <row r="418" spans="1:26" ht="26.25" customHeight="1" x14ac:dyDescent="0.3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69"/>
      <c r="V418" s="3"/>
      <c r="W418" s="3"/>
      <c r="X418" s="3"/>
      <c r="Y418" s="3"/>
      <c r="Z418" s="3"/>
    </row>
    <row r="419" spans="1:26" ht="26.25" customHeight="1" x14ac:dyDescent="0.3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69"/>
      <c r="V419" s="3"/>
      <c r="W419" s="3"/>
      <c r="X419" s="3"/>
      <c r="Y419" s="3"/>
      <c r="Z419" s="3"/>
    </row>
    <row r="420" spans="1:26" ht="26.25" customHeight="1" x14ac:dyDescent="0.3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69"/>
      <c r="V420" s="3"/>
      <c r="W420" s="3"/>
      <c r="X420" s="3"/>
      <c r="Y420" s="3"/>
      <c r="Z420" s="3"/>
    </row>
    <row r="421" spans="1:26" ht="26.25" customHeight="1" x14ac:dyDescent="0.3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69"/>
      <c r="V421" s="3"/>
      <c r="W421" s="3"/>
      <c r="X421" s="3"/>
      <c r="Y421" s="3"/>
      <c r="Z421" s="3"/>
    </row>
    <row r="422" spans="1:26" ht="26.25" customHeight="1" x14ac:dyDescent="0.3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69"/>
      <c r="V422" s="3"/>
      <c r="W422" s="3"/>
      <c r="X422" s="3"/>
      <c r="Y422" s="3"/>
      <c r="Z422" s="3"/>
    </row>
    <row r="423" spans="1:26" ht="26.25" customHeight="1" x14ac:dyDescent="0.3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69"/>
      <c r="V423" s="3"/>
      <c r="W423" s="3"/>
      <c r="X423" s="3"/>
      <c r="Y423" s="3"/>
      <c r="Z423" s="3"/>
    </row>
    <row r="424" spans="1:26" ht="26.25" customHeight="1" x14ac:dyDescent="0.3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69"/>
      <c r="V424" s="3"/>
      <c r="W424" s="3"/>
      <c r="X424" s="3"/>
      <c r="Y424" s="3"/>
      <c r="Z424" s="3"/>
    </row>
    <row r="425" spans="1:26" ht="26.25" customHeight="1" x14ac:dyDescent="0.3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69"/>
      <c r="V425" s="3"/>
      <c r="W425" s="3"/>
      <c r="X425" s="3"/>
      <c r="Y425" s="3"/>
      <c r="Z425" s="3"/>
    </row>
    <row r="426" spans="1:26" ht="26.25" customHeight="1" x14ac:dyDescent="0.3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69"/>
      <c r="V426" s="3"/>
      <c r="W426" s="3"/>
      <c r="X426" s="3"/>
      <c r="Y426" s="3"/>
      <c r="Z426" s="3"/>
    </row>
    <row r="427" spans="1:26" ht="26.25" customHeight="1" x14ac:dyDescent="0.3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69"/>
      <c r="V427" s="3"/>
      <c r="W427" s="3"/>
      <c r="X427" s="3"/>
      <c r="Y427" s="3"/>
      <c r="Z427" s="3"/>
    </row>
    <row r="428" spans="1:26" ht="26.25" customHeight="1" x14ac:dyDescent="0.3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69"/>
      <c r="V428" s="3"/>
      <c r="W428" s="3"/>
      <c r="X428" s="3"/>
      <c r="Y428" s="3"/>
      <c r="Z428" s="3"/>
    </row>
    <row r="429" spans="1:26" ht="26.25" customHeight="1" x14ac:dyDescent="0.3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69"/>
      <c r="V429" s="3"/>
      <c r="W429" s="3"/>
      <c r="X429" s="3"/>
      <c r="Y429" s="3"/>
      <c r="Z429" s="3"/>
    </row>
    <row r="430" spans="1:26" ht="26.25" customHeight="1" x14ac:dyDescent="0.3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69"/>
      <c r="V430" s="3"/>
      <c r="W430" s="3"/>
      <c r="X430" s="3"/>
      <c r="Y430" s="3"/>
      <c r="Z430" s="3"/>
    </row>
    <row r="431" spans="1:26" ht="26.25" customHeight="1" x14ac:dyDescent="0.3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69"/>
      <c r="V431" s="3"/>
      <c r="W431" s="3"/>
      <c r="X431" s="3"/>
      <c r="Y431" s="3"/>
      <c r="Z431" s="3"/>
    </row>
    <row r="432" spans="1:26" ht="26.25" customHeight="1" x14ac:dyDescent="0.3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69"/>
      <c r="V432" s="3"/>
      <c r="W432" s="3"/>
      <c r="X432" s="3"/>
      <c r="Y432" s="3"/>
      <c r="Z432" s="3"/>
    </row>
    <row r="433" spans="1:26" ht="26.25" customHeight="1" x14ac:dyDescent="0.3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69"/>
      <c r="V433" s="3"/>
      <c r="W433" s="3"/>
      <c r="X433" s="3"/>
      <c r="Y433" s="3"/>
      <c r="Z433" s="3"/>
    </row>
    <row r="434" spans="1:26" ht="26.25" customHeight="1" x14ac:dyDescent="0.3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69"/>
      <c r="V434" s="3"/>
      <c r="W434" s="3"/>
      <c r="X434" s="3"/>
      <c r="Y434" s="3"/>
      <c r="Z434" s="3"/>
    </row>
    <row r="435" spans="1:26" ht="26.25" customHeight="1" x14ac:dyDescent="0.3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69"/>
      <c r="V435" s="3"/>
      <c r="W435" s="3"/>
      <c r="X435" s="3"/>
      <c r="Y435" s="3"/>
      <c r="Z435" s="3"/>
    </row>
    <row r="436" spans="1:26" ht="26.25" customHeight="1" x14ac:dyDescent="0.3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69"/>
      <c r="V436" s="3"/>
      <c r="W436" s="3"/>
      <c r="X436" s="3"/>
      <c r="Y436" s="3"/>
      <c r="Z436" s="3"/>
    </row>
    <row r="437" spans="1:26" ht="26.25" customHeight="1" x14ac:dyDescent="0.3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69"/>
      <c r="V437" s="3"/>
      <c r="W437" s="3"/>
      <c r="X437" s="3"/>
      <c r="Y437" s="3"/>
      <c r="Z437" s="3"/>
    </row>
    <row r="438" spans="1:26" ht="26.25" customHeight="1" x14ac:dyDescent="0.3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69"/>
      <c r="V438" s="3"/>
      <c r="W438" s="3"/>
      <c r="X438" s="3"/>
      <c r="Y438" s="3"/>
      <c r="Z438" s="3"/>
    </row>
    <row r="439" spans="1:26" ht="26.25" customHeight="1" x14ac:dyDescent="0.3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69"/>
      <c r="V439" s="3"/>
      <c r="W439" s="3"/>
      <c r="X439" s="3"/>
      <c r="Y439" s="3"/>
      <c r="Z439" s="3"/>
    </row>
    <row r="440" spans="1:26" ht="26.25" customHeight="1" x14ac:dyDescent="0.3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69"/>
      <c r="V440" s="3"/>
      <c r="W440" s="3"/>
      <c r="X440" s="3"/>
      <c r="Y440" s="3"/>
      <c r="Z440" s="3"/>
    </row>
    <row r="441" spans="1:26" ht="26.25" customHeight="1" x14ac:dyDescent="0.3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69"/>
      <c r="V441" s="3"/>
      <c r="W441" s="3"/>
      <c r="X441" s="3"/>
      <c r="Y441" s="3"/>
      <c r="Z441" s="3"/>
    </row>
    <row r="442" spans="1:26" ht="26.25" customHeight="1" x14ac:dyDescent="0.3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69"/>
      <c r="V442" s="3"/>
      <c r="W442" s="3"/>
      <c r="X442" s="3"/>
      <c r="Y442" s="3"/>
      <c r="Z442" s="3"/>
    </row>
    <row r="443" spans="1:26" ht="26.25" customHeight="1" x14ac:dyDescent="0.3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69"/>
      <c r="V443" s="3"/>
      <c r="W443" s="3"/>
      <c r="X443" s="3"/>
      <c r="Y443" s="3"/>
      <c r="Z443" s="3"/>
    </row>
    <row r="444" spans="1:26" ht="26.25" customHeight="1" x14ac:dyDescent="0.3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69"/>
      <c r="V444" s="3"/>
      <c r="W444" s="3"/>
      <c r="X444" s="3"/>
      <c r="Y444" s="3"/>
      <c r="Z444" s="3"/>
    </row>
    <row r="445" spans="1:26" ht="26.25" customHeight="1" x14ac:dyDescent="0.3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69"/>
      <c r="V445" s="3"/>
      <c r="W445" s="3"/>
      <c r="X445" s="3"/>
      <c r="Y445" s="3"/>
      <c r="Z445" s="3"/>
    </row>
    <row r="446" spans="1:26" ht="26.25" customHeight="1" x14ac:dyDescent="0.3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69"/>
      <c r="V446" s="3"/>
      <c r="W446" s="3"/>
      <c r="X446" s="3"/>
      <c r="Y446" s="3"/>
      <c r="Z446" s="3"/>
    </row>
    <row r="447" spans="1:26" ht="26.25" customHeight="1" x14ac:dyDescent="0.3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69"/>
      <c r="V447" s="3"/>
      <c r="W447" s="3"/>
      <c r="X447" s="3"/>
      <c r="Y447" s="3"/>
      <c r="Z447" s="3"/>
    </row>
    <row r="448" spans="1:26" ht="26.25" customHeight="1" x14ac:dyDescent="0.3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69"/>
      <c r="V448" s="3"/>
      <c r="W448" s="3"/>
      <c r="X448" s="3"/>
      <c r="Y448" s="3"/>
      <c r="Z448" s="3"/>
    </row>
    <row r="449" spans="1:26" ht="26.25" customHeight="1" x14ac:dyDescent="0.3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69"/>
      <c r="V449" s="3"/>
      <c r="W449" s="3"/>
      <c r="X449" s="3"/>
      <c r="Y449" s="3"/>
      <c r="Z449" s="3"/>
    </row>
    <row r="450" spans="1:26" ht="26.25" customHeight="1" x14ac:dyDescent="0.3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69"/>
      <c r="V450" s="3"/>
      <c r="W450" s="3"/>
      <c r="X450" s="3"/>
      <c r="Y450" s="3"/>
      <c r="Z450" s="3"/>
    </row>
    <row r="451" spans="1:26" ht="26.25" customHeight="1" x14ac:dyDescent="0.3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69"/>
      <c r="V451" s="3"/>
      <c r="W451" s="3"/>
      <c r="X451" s="3"/>
      <c r="Y451" s="3"/>
      <c r="Z451" s="3"/>
    </row>
    <row r="452" spans="1:26" ht="26.25" customHeight="1" x14ac:dyDescent="0.3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69"/>
      <c r="V452" s="3"/>
      <c r="W452" s="3"/>
      <c r="X452" s="3"/>
      <c r="Y452" s="3"/>
      <c r="Z452" s="3"/>
    </row>
    <row r="453" spans="1:26" ht="26.25" customHeight="1" x14ac:dyDescent="0.3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69"/>
      <c r="V453" s="3"/>
      <c r="W453" s="3"/>
      <c r="X453" s="3"/>
      <c r="Y453" s="3"/>
      <c r="Z453" s="3"/>
    </row>
    <row r="454" spans="1:26" ht="26.25" customHeight="1" x14ac:dyDescent="0.3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69"/>
      <c r="V454" s="3"/>
      <c r="W454" s="3"/>
      <c r="X454" s="3"/>
      <c r="Y454" s="3"/>
      <c r="Z454" s="3"/>
    </row>
    <row r="455" spans="1:26" ht="26.25" customHeight="1" x14ac:dyDescent="0.3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69"/>
      <c r="V455" s="3"/>
      <c r="W455" s="3"/>
      <c r="X455" s="3"/>
      <c r="Y455" s="3"/>
      <c r="Z455" s="3"/>
    </row>
    <row r="456" spans="1:26" ht="26.25" customHeight="1" x14ac:dyDescent="0.3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69"/>
      <c r="V456" s="3"/>
      <c r="W456" s="3"/>
      <c r="X456" s="3"/>
      <c r="Y456" s="3"/>
      <c r="Z456" s="3"/>
    </row>
    <row r="457" spans="1:26" ht="26.25" customHeight="1" x14ac:dyDescent="0.3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69"/>
      <c r="V457" s="3"/>
      <c r="W457" s="3"/>
      <c r="X457" s="3"/>
      <c r="Y457" s="3"/>
      <c r="Z457" s="3"/>
    </row>
    <row r="458" spans="1:26" ht="26.25" customHeight="1" x14ac:dyDescent="0.3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69"/>
      <c r="V458" s="3"/>
      <c r="W458" s="3"/>
      <c r="X458" s="3"/>
      <c r="Y458" s="3"/>
      <c r="Z458" s="3"/>
    </row>
    <row r="459" spans="1:26" ht="26.25" customHeight="1" x14ac:dyDescent="0.3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69"/>
      <c r="V459" s="3"/>
      <c r="W459" s="3"/>
      <c r="X459" s="3"/>
      <c r="Y459" s="3"/>
      <c r="Z459" s="3"/>
    </row>
    <row r="460" spans="1:26" ht="26.25" customHeight="1" x14ac:dyDescent="0.3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69"/>
      <c r="V460" s="3"/>
      <c r="W460" s="3"/>
      <c r="X460" s="3"/>
      <c r="Y460" s="3"/>
      <c r="Z460" s="3"/>
    </row>
    <row r="461" spans="1:26" ht="26.25" customHeight="1" x14ac:dyDescent="0.3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69"/>
      <c r="V461" s="3"/>
      <c r="W461" s="3"/>
      <c r="X461" s="3"/>
      <c r="Y461" s="3"/>
      <c r="Z461" s="3"/>
    </row>
    <row r="462" spans="1:26" ht="26.25" customHeight="1" x14ac:dyDescent="0.3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69"/>
      <c r="V462" s="3"/>
      <c r="W462" s="3"/>
      <c r="X462" s="3"/>
      <c r="Y462" s="3"/>
      <c r="Z462" s="3"/>
    </row>
    <row r="463" spans="1:26" ht="26.25" customHeight="1" x14ac:dyDescent="0.3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69"/>
      <c r="V463" s="3"/>
      <c r="W463" s="3"/>
      <c r="X463" s="3"/>
      <c r="Y463" s="3"/>
      <c r="Z463" s="3"/>
    </row>
    <row r="464" spans="1:26" ht="26.25" customHeight="1" x14ac:dyDescent="0.3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69"/>
      <c r="V464" s="3"/>
      <c r="W464" s="3"/>
      <c r="X464" s="3"/>
      <c r="Y464" s="3"/>
      <c r="Z464" s="3"/>
    </row>
    <row r="465" spans="1:26" ht="26.25" customHeight="1" x14ac:dyDescent="0.3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69"/>
      <c r="V465" s="3"/>
      <c r="W465" s="3"/>
      <c r="X465" s="3"/>
      <c r="Y465" s="3"/>
      <c r="Z465" s="3"/>
    </row>
    <row r="466" spans="1:26" ht="26.25" customHeight="1" x14ac:dyDescent="0.3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69"/>
      <c r="V466" s="3"/>
      <c r="W466" s="3"/>
      <c r="X466" s="3"/>
      <c r="Y466" s="3"/>
      <c r="Z466" s="3"/>
    </row>
    <row r="467" spans="1:26" ht="26.25" customHeight="1" x14ac:dyDescent="0.3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69"/>
      <c r="V467" s="3"/>
      <c r="W467" s="3"/>
      <c r="X467" s="3"/>
      <c r="Y467" s="3"/>
      <c r="Z467" s="3"/>
    </row>
    <row r="468" spans="1:26" ht="26.25" customHeight="1" x14ac:dyDescent="0.3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69"/>
      <c r="V468" s="3"/>
      <c r="W468" s="3"/>
      <c r="X468" s="3"/>
      <c r="Y468" s="3"/>
      <c r="Z468" s="3"/>
    </row>
    <row r="469" spans="1:26" ht="26.25" customHeight="1" x14ac:dyDescent="0.3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69"/>
      <c r="V469" s="3"/>
      <c r="W469" s="3"/>
      <c r="X469" s="3"/>
      <c r="Y469" s="3"/>
      <c r="Z469" s="3"/>
    </row>
    <row r="470" spans="1:26" ht="26.25" customHeight="1" x14ac:dyDescent="0.3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69"/>
      <c r="V470" s="3"/>
      <c r="W470" s="3"/>
      <c r="X470" s="3"/>
      <c r="Y470" s="3"/>
      <c r="Z470" s="3"/>
    </row>
    <row r="471" spans="1:26" ht="26.25" customHeight="1" x14ac:dyDescent="0.3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69"/>
      <c r="V471" s="3"/>
      <c r="W471" s="3"/>
      <c r="X471" s="3"/>
      <c r="Y471" s="3"/>
      <c r="Z471" s="3"/>
    </row>
    <row r="472" spans="1:26" ht="26.25" customHeight="1" x14ac:dyDescent="0.3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69"/>
      <c r="V472" s="3"/>
      <c r="W472" s="3"/>
      <c r="X472" s="3"/>
      <c r="Y472" s="3"/>
      <c r="Z472" s="3"/>
    </row>
    <row r="473" spans="1:26" ht="26.25" customHeight="1" x14ac:dyDescent="0.3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69"/>
      <c r="V473" s="3"/>
      <c r="W473" s="3"/>
      <c r="X473" s="3"/>
      <c r="Y473" s="3"/>
      <c r="Z473" s="3"/>
    </row>
    <row r="474" spans="1:26" ht="26.25" customHeight="1" x14ac:dyDescent="0.3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69"/>
      <c r="V474" s="3"/>
      <c r="W474" s="3"/>
      <c r="X474" s="3"/>
      <c r="Y474" s="3"/>
      <c r="Z474" s="3"/>
    </row>
    <row r="475" spans="1:26" ht="26.25" customHeight="1" x14ac:dyDescent="0.3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69"/>
      <c r="V475" s="3"/>
      <c r="W475" s="3"/>
      <c r="X475" s="3"/>
      <c r="Y475" s="3"/>
      <c r="Z475" s="3"/>
    </row>
    <row r="476" spans="1:26" ht="26.25" customHeight="1" x14ac:dyDescent="0.3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69"/>
      <c r="V476" s="3"/>
      <c r="W476" s="3"/>
      <c r="X476" s="3"/>
      <c r="Y476" s="3"/>
      <c r="Z476" s="3"/>
    </row>
    <row r="477" spans="1:26" ht="26.25" customHeight="1" x14ac:dyDescent="0.3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69"/>
      <c r="V477" s="3"/>
      <c r="W477" s="3"/>
      <c r="X477" s="3"/>
      <c r="Y477" s="3"/>
      <c r="Z477" s="3"/>
    </row>
    <row r="478" spans="1:26" ht="26.25" customHeight="1" x14ac:dyDescent="0.3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69"/>
      <c r="V478" s="3"/>
      <c r="W478" s="3"/>
      <c r="X478" s="3"/>
      <c r="Y478" s="3"/>
      <c r="Z478" s="3"/>
    </row>
    <row r="479" spans="1:26" ht="26.25" customHeight="1" x14ac:dyDescent="0.3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69"/>
      <c r="V479" s="3"/>
      <c r="W479" s="3"/>
      <c r="X479" s="3"/>
      <c r="Y479" s="3"/>
      <c r="Z479" s="3"/>
    </row>
    <row r="480" spans="1:26" ht="26.25" customHeight="1" x14ac:dyDescent="0.3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69"/>
      <c r="V480" s="3"/>
      <c r="W480" s="3"/>
      <c r="X480" s="3"/>
      <c r="Y480" s="3"/>
      <c r="Z480" s="3"/>
    </row>
    <row r="481" spans="1:26" ht="26.25" customHeight="1" x14ac:dyDescent="0.3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69"/>
      <c r="V481" s="3"/>
      <c r="W481" s="3"/>
      <c r="X481" s="3"/>
      <c r="Y481" s="3"/>
      <c r="Z481" s="3"/>
    </row>
    <row r="482" spans="1:26" ht="26.25" customHeight="1" x14ac:dyDescent="0.3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69"/>
      <c r="V482" s="3"/>
      <c r="W482" s="3"/>
      <c r="X482" s="3"/>
      <c r="Y482" s="3"/>
      <c r="Z482" s="3"/>
    </row>
    <row r="483" spans="1:26" ht="26.25" customHeight="1" x14ac:dyDescent="0.3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69"/>
      <c r="V483" s="3"/>
      <c r="W483" s="3"/>
      <c r="X483" s="3"/>
      <c r="Y483" s="3"/>
      <c r="Z483" s="3"/>
    </row>
    <row r="484" spans="1:26" ht="26.25" customHeight="1" x14ac:dyDescent="0.3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69"/>
      <c r="V484" s="3"/>
      <c r="W484" s="3"/>
      <c r="X484" s="3"/>
      <c r="Y484" s="3"/>
      <c r="Z484" s="3"/>
    </row>
    <row r="485" spans="1:26" ht="26.25" customHeight="1" x14ac:dyDescent="0.3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69"/>
      <c r="V485" s="3"/>
      <c r="W485" s="3"/>
      <c r="X485" s="3"/>
      <c r="Y485" s="3"/>
      <c r="Z485" s="3"/>
    </row>
    <row r="486" spans="1:26" ht="26.25" customHeight="1" x14ac:dyDescent="0.3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69"/>
      <c r="V486" s="3"/>
      <c r="W486" s="3"/>
      <c r="X486" s="3"/>
      <c r="Y486" s="3"/>
      <c r="Z486" s="3"/>
    </row>
    <row r="487" spans="1:26" ht="26.25" customHeight="1" x14ac:dyDescent="0.3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69"/>
      <c r="V487" s="3"/>
      <c r="W487" s="3"/>
      <c r="X487" s="3"/>
      <c r="Y487" s="3"/>
      <c r="Z487" s="3"/>
    </row>
    <row r="488" spans="1:26" ht="26.25" customHeight="1" x14ac:dyDescent="0.3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69"/>
      <c r="V488" s="3"/>
      <c r="W488" s="3"/>
      <c r="X488" s="3"/>
      <c r="Y488" s="3"/>
      <c r="Z488" s="3"/>
    </row>
    <row r="489" spans="1:26" ht="26.25" customHeight="1" x14ac:dyDescent="0.3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69"/>
      <c r="V489" s="3"/>
      <c r="W489" s="3"/>
      <c r="X489" s="3"/>
      <c r="Y489" s="3"/>
      <c r="Z489" s="3"/>
    </row>
    <row r="490" spans="1:26" ht="26.25" customHeight="1" x14ac:dyDescent="0.3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69"/>
      <c r="V490" s="3"/>
      <c r="W490" s="3"/>
      <c r="X490" s="3"/>
      <c r="Y490" s="3"/>
      <c r="Z490" s="3"/>
    </row>
    <row r="491" spans="1:26" ht="26.25" customHeight="1" x14ac:dyDescent="0.3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69"/>
      <c r="V491" s="3"/>
      <c r="W491" s="3"/>
      <c r="X491" s="3"/>
      <c r="Y491" s="3"/>
      <c r="Z491" s="3"/>
    </row>
    <row r="492" spans="1:26" ht="26.25" customHeight="1" x14ac:dyDescent="0.3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69"/>
      <c r="V492" s="3"/>
      <c r="W492" s="3"/>
      <c r="X492" s="3"/>
      <c r="Y492" s="3"/>
      <c r="Z492" s="3"/>
    </row>
    <row r="493" spans="1:26" ht="26.25" customHeight="1" x14ac:dyDescent="0.3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69"/>
      <c r="V493" s="3"/>
      <c r="W493" s="3"/>
      <c r="X493" s="3"/>
      <c r="Y493" s="3"/>
      <c r="Z493" s="3"/>
    </row>
    <row r="494" spans="1:26" ht="26.25" customHeight="1" x14ac:dyDescent="0.3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69"/>
      <c r="V494" s="3"/>
      <c r="W494" s="3"/>
      <c r="X494" s="3"/>
      <c r="Y494" s="3"/>
      <c r="Z494" s="3"/>
    </row>
    <row r="495" spans="1:26" ht="26.25" customHeight="1" x14ac:dyDescent="0.3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69"/>
      <c r="V495" s="3"/>
      <c r="W495" s="3"/>
      <c r="X495" s="3"/>
      <c r="Y495" s="3"/>
      <c r="Z495" s="3"/>
    </row>
    <row r="496" spans="1:26" ht="26.25" customHeight="1" x14ac:dyDescent="0.3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69"/>
      <c r="V496" s="3"/>
      <c r="W496" s="3"/>
      <c r="X496" s="3"/>
      <c r="Y496" s="3"/>
      <c r="Z496" s="3"/>
    </row>
    <row r="497" spans="1:26" ht="26.25" customHeight="1" x14ac:dyDescent="0.3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69"/>
      <c r="V497" s="3"/>
      <c r="W497" s="3"/>
      <c r="X497" s="3"/>
      <c r="Y497" s="3"/>
      <c r="Z497" s="3"/>
    </row>
    <row r="498" spans="1:26" ht="26.25" customHeight="1" x14ac:dyDescent="0.3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69"/>
      <c r="V498" s="3"/>
      <c r="W498" s="3"/>
      <c r="X498" s="3"/>
      <c r="Y498" s="3"/>
      <c r="Z498" s="3"/>
    </row>
    <row r="499" spans="1:26" ht="26.25" customHeight="1" x14ac:dyDescent="0.3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69"/>
      <c r="V499" s="3"/>
      <c r="W499" s="3"/>
      <c r="X499" s="3"/>
      <c r="Y499" s="3"/>
      <c r="Z499" s="3"/>
    </row>
    <row r="500" spans="1:26" ht="26.25" customHeight="1" x14ac:dyDescent="0.3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69"/>
      <c r="V500" s="3"/>
      <c r="W500" s="3"/>
      <c r="X500" s="3"/>
      <c r="Y500" s="3"/>
      <c r="Z500" s="3"/>
    </row>
    <row r="501" spans="1:26" ht="26.25" customHeight="1" x14ac:dyDescent="0.3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69"/>
      <c r="V501" s="3"/>
      <c r="W501" s="3"/>
      <c r="X501" s="3"/>
      <c r="Y501" s="3"/>
      <c r="Z501" s="3"/>
    </row>
    <row r="502" spans="1:26" ht="26.25" customHeight="1" x14ac:dyDescent="0.3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69"/>
      <c r="V502" s="3"/>
      <c r="W502" s="3"/>
      <c r="X502" s="3"/>
      <c r="Y502" s="3"/>
      <c r="Z502" s="3"/>
    </row>
    <row r="503" spans="1:26" ht="26.25" customHeight="1" x14ac:dyDescent="0.3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69"/>
      <c r="V503" s="3"/>
      <c r="W503" s="3"/>
      <c r="X503" s="3"/>
      <c r="Y503" s="3"/>
      <c r="Z503" s="3"/>
    </row>
    <row r="504" spans="1:26" ht="26.25" customHeight="1" x14ac:dyDescent="0.3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69"/>
      <c r="V504" s="3"/>
      <c r="W504" s="3"/>
      <c r="X504" s="3"/>
      <c r="Y504" s="3"/>
      <c r="Z504" s="3"/>
    </row>
    <row r="505" spans="1:26" ht="26.25" customHeight="1" x14ac:dyDescent="0.3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69"/>
      <c r="V505" s="3"/>
      <c r="W505" s="3"/>
      <c r="X505" s="3"/>
      <c r="Y505" s="3"/>
      <c r="Z505" s="3"/>
    </row>
    <row r="506" spans="1:26" ht="26.25" customHeight="1" x14ac:dyDescent="0.3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69"/>
      <c r="V506" s="3"/>
      <c r="W506" s="3"/>
      <c r="X506" s="3"/>
      <c r="Y506" s="3"/>
      <c r="Z506" s="3"/>
    </row>
    <row r="507" spans="1:26" ht="26.25" customHeight="1" x14ac:dyDescent="0.3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69"/>
      <c r="V507" s="3"/>
      <c r="W507" s="3"/>
      <c r="X507" s="3"/>
      <c r="Y507" s="3"/>
      <c r="Z507" s="3"/>
    </row>
    <row r="508" spans="1:26" ht="26.25" customHeight="1" x14ac:dyDescent="0.3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69"/>
      <c r="V508" s="3"/>
      <c r="W508" s="3"/>
      <c r="X508" s="3"/>
      <c r="Y508" s="3"/>
      <c r="Z508" s="3"/>
    </row>
    <row r="509" spans="1:26" ht="26.25" customHeight="1" x14ac:dyDescent="0.3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69"/>
      <c r="V509" s="3"/>
      <c r="W509" s="3"/>
      <c r="X509" s="3"/>
      <c r="Y509" s="3"/>
      <c r="Z509" s="3"/>
    </row>
    <row r="510" spans="1:26" ht="26.25" customHeight="1" x14ac:dyDescent="0.3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69"/>
      <c r="V510" s="3"/>
      <c r="W510" s="3"/>
      <c r="X510" s="3"/>
      <c r="Y510" s="3"/>
      <c r="Z510" s="3"/>
    </row>
    <row r="511" spans="1:26" ht="26.25" customHeight="1" x14ac:dyDescent="0.3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69"/>
      <c r="V511" s="3"/>
      <c r="W511" s="3"/>
      <c r="X511" s="3"/>
      <c r="Y511" s="3"/>
      <c r="Z511" s="3"/>
    </row>
    <row r="512" spans="1:26" ht="26.25" customHeight="1" x14ac:dyDescent="0.3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69"/>
      <c r="V512" s="3"/>
      <c r="W512" s="3"/>
      <c r="X512" s="3"/>
      <c r="Y512" s="3"/>
      <c r="Z512" s="3"/>
    </row>
    <row r="513" spans="1:26" ht="26.25" customHeight="1" x14ac:dyDescent="0.3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69"/>
      <c r="V513" s="3"/>
      <c r="W513" s="3"/>
      <c r="X513" s="3"/>
      <c r="Y513" s="3"/>
      <c r="Z513" s="3"/>
    </row>
    <row r="514" spans="1:26" ht="26.25" customHeight="1" x14ac:dyDescent="0.3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69"/>
      <c r="V514" s="3"/>
      <c r="W514" s="3"/>
      <c r="X514" s="3"/>
      <c r="Y514" s="3"/>
      <c r="Z514" s="3"/>
    </row>
    <row r="515" spans="1:26" ht="26.25" customHeight="1" x14ac:dyDescent="0.3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69"/>
      <c r="V515" s="3"/>
      <c r="W515" s="3"/>
      <c r="X515" s="3"/>
      <c r="Y515" s="3"/>
      <c r="Z515" s="3"/>
    </row>
    <row r="516" spans="1:26" ht="26.25" customHeight="1" x14ac:dyDescent="0.3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69"/>
      <c r="V516" s="3"/>
      <c r="W516" s="3"/>
      <c r="X516" s="3"/>
      <c r="Y516" s="3"/>
      <c r="Z516" s="3"/>
    </row>
    <row r="517" spans="1:26" ht="26.25" customHeight="1" x14ac:dyDescent="0.3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69"/>
      <c r="V517" s="3"/>
      <c r="W517" s="3"/>
      <c r="X517" s="3"/>
      <c r="Y517" s="3"/>
      <c r="Z517" s="3"/>
    </row>
    <row r="518" spans="1:26" ht="26.25" customHeight="1" x14ac:dyDescent="0.3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69"/>
      <c r="V518" s="3"/>
      <c r="W518" s="3"/>
      <c r="X518" s="3"/>
      <c r="Y518" s="3"/>
      <c r="Z518" s="3"/>
    </row>
    <row r="519" spans="1:26" ht="26.25" customHeight="1" x14ac:dyDescent="0.3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69"/>
      <c r="V519" s="3"/>
      <c r="W519" s="3"/>
      <c r="X519" s="3"/>
      <c r="Y519" s="3"/>
      <c r="Z519" s="3"/>
    </row>
    <row r="520" spans="1:26" ht="26.25" customHeight="1" x14ac:dyDescent="0.3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69"/>
      <c r="V520" s="3"/>
      <c r="W520" s="3"/>
      <c r="X520" s="3"/>
      <c r="Y520" s="3"/>
      <c r="Z520" s="3"/>
    </row>
    <row r="521" spans="1:26" ht="26.25" customHeight="1" x14ac:dyDescent="0.3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69"/>
      <c r="V521" s="3"/>
      <c r="W521" s="3"/>
      <c r="X521" s="3"/>
      <c r="Y521" s="3"/>
      <c r="Z521" s="3"/>
    </row>
    <row r="522" spans="1:26" ht="26.25" customHeight="1" x14ac:dyDescent="0.3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69"/>
      <c r="V522" s="3"/>
      <c r="W522" s="3"/>
      <c r="X522" s="3"/>
      <c r="Y522" s="3"/>
      <c r="Z522" s="3"/>
    </row>
    <row r="523" spans="1:26" ht="26.25" customHeight="1" x14ac:dyDescent="0.3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69"/>
      <c r="V523" s="3"/>
      <c r="W523" s="3"/>
      <c r="X523" s="3"/>
      <c r="Y523" s="3"/>
      <c r="Z523" s="3"/>
    </row>
    <row r="524" spans="1:26" ht="26.25" customHeight="1" x14ac:dyDescent="0.3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69"/>
      <c r="V524" s="3"/>
      <c r="W524" s="3"/>
      <c r="X524" s="3"/>
      <c r="Y524" s="3"/>
      <c r="Z524" s="3"/>
    </row>
    <row r="525" spans="1:26" ht="26.25" customHeight="1" x14ac:dyDescent="0.3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69"/>
      <c r="V525" s="3"/>
      <c r="W525" s="3"/>
      <c r="X525" s="3"/>
      <c r="Y525" s="3"/>
      <c r="Z525" s="3"/>
    </row>
    <row r="526" spans="1:26" ht="26.25" customHeight="1" x14ac:dyDescent="0.3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69"/>
      <c r="V526" s="3"/>
      <c r="W526" s="3"/>
      <c r="X526" s="3"/>
      <c r="Y526" s="3"/>
      <c r="Z526" s="3"/>
    </row>
    <row r="527" spans="1:26" ht="26.25" customHeight="1" x14ac:dyDescent="0.3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69"/>
      <c r="V527" s="3"/>
      <c r="W527" s="3"/>
      <c r="X527" s="3"/>
      <c r="Y527" s="3"/>
      <c r="Z527" s="3"/>
    </row>
    <row r="528" spans="1:26" ht="26.25" customHeight="1" x14ac:dyDescent="0.3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69"/>
      <c r="V528" s="3"/>
      <c r="W528" s="3"/>
      <c r="X528" s="3"/>
      <c r="Y528" s="3"/>
      <c r="Z528" s="3"/>
    </row>
    <row r="529" spans="1:26" ht="26.25" customHeight="1" x14ac:dyDescent="0.3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69"/>
      <c r="V529" s="3"/>
      <c r="W529" s="3"/>
      <c r="X529" s="3"/>
      <c r="Y529" s="3"/>
      <c r="Z529" s="3"/>
    </row>
    <row r="530" spans="1:26" ht="26.25" customHeight="1" x14ac:dyDescent="0.3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69"/>
      <c r="V530" s="3"/>
      <c r="W530" s="3"/>
      <c r="X530" s="3"/>
      <c r="Y530" s="3"/>
      <c r="Z530" s="3"/>
    </row>
    <row r="531" spans="1:26" ht="26.25" customHeight="1" x14ac:dyDescent="0.3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69"/>
      <c r="V531" s="3"/>
      <c r="W531" s="3"/>
      <c r="X531" s="3"/>
      <c r="Y531" s="3"/>
      <c r="Z531" s="3"/>
    </row>
    <row r="532" spans="1:26" ht="26.25" customHeight="1" x14ac:dyDescent="0.3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69"/>
      <c r="V532" s="3"/>
      <c r="W532" s="3"/>
      <c r="X532" s="3"/>
      <c r="Y532" s="3"/>
      <c r="Z532" s="3"/>
    </row>
    <row r="533" spans="1:26" ht="26.25" customHeight="1" x14ac:dyDescent="0.3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69"/>
      <c r="V533" s="3"/>
      <c r="W533" s="3"/>
      <c r="X533" s="3"/>
      <c r="Y533" s="3"/>
      <c r="Z533" s="3"/>
    </row>
    <row r="534" spans="1:26" ht="26.25" customHeight="1" x14ac:dyDescent="0.3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69"/>
      <c r="V534" s="3"/>
      <c r="W534" s="3"/>
      <c r="X534" s="3"/>
      <c r="Y534" s="3"/>
      <c r="Z534" s="3"/>
    </row>
    <row r="535" spans="1:26" ht="26.25" customHeight="1" x14ac:dyDescent="0.3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69"/>
      <c r="V535" s="3"/>
      <c r="W535" s="3"/>
      <c r="X535" s="3"/>
      <c r="Y535" s="3"/>
      <c r="Z535" s="3"/>
    </row>
    <row r="536" spans="1:26" ht="26.25" customHeight="1" x14ac:dyDescent="0.3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69"/>
      <c r="V536" s="3"/>
      <c r="W536" s="3"/>
      <c r="X536" s="3"/>
      <c r="Y536" s="3"/>
      <c r="Z536" s="3"/>
    </row>
    <row r="537" spans="1:26" ht="26.25" customHeight="1" x14ac:dyDescent="0.3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69"/>
      <c r="V537" s="3"/>
      <c r="W537" s="3"/>
      <c r="X537" s="3"/>
      <c r="Y537" s="3"/>
      <c r="Z537" s="3"/>
    </row>
    <row r="538" spans="1:26" ht="26.25" customHeight="1" x14ac:dyDescent="0.3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69"/>
      <c r="V538" s="3"/>
      <c r="W538" s="3"/>
      <c r="X538" s="3"/>
      <c r="Y538" s="3"/>
      <c r="Z538" s="3"/>
    </row>
    <row r="539" spans="1:26" ht="26.25" customHeight="1" x14ac:dyDescent="0.3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69"/>
      <c r="V539" s="3"/>
      <c r="W539" s="3"/>
      <c r="X539" s="3"/>
      <c r="Y539" s="3"/>
      <c r="Z539" s="3"/>
    </row>
    <row r="540" spans="1:26" ht="26.25" customHeight="1" x14ac:dyDescent="0.3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69"/>
      <c r="V540" s="3"/>
      <c r="W540" s="3"/>
      <c r="X540" s="3"/>
      <c r="Y540" s="3"/>
      <c r="Z540" s="3"/>
    </row>
    <row r="541" spans="1:26" ht="26.25" customHeight="1" x14ac:dyDescent="0.3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69"/>
      <c r="V541" s="3"/>
      <c r="W541" s="3"/>
      <c r="X541" s="3"/>
      <c r="Y541" s="3"/>
      <c r="Z541" s="3"/>
    </row>
    <row r="542" spans="1:26" ht="26.25" customHeight="1" x14ac:dyDescent="0.3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69"/>
      <c r="V542" s="3"/>
      <c r="W542" s="3"/>
      <c r="X542" s="3"/>
      <c r="Y542" s="3"/>
      <c r="Z542" s="3"/>
    </row>
    <row r="543" spans="1:26" ht="26.25" customHeight="1" x14ac:dyDescent="0.3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69"/>
      <c r="V543" s="3"/>
      <c r="W543" s="3"/>
      <c r="X543" s="3"/>
      <c r="Y543" s="3"/>
      <c r="Z543" s="3"/>
    </row>
    <row r="544" spans="1:26" ht="26.25" customHeight="1" x14ac:dyDescent="0.3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69"/>
      <c r="V544" s="3"/>
      <c r="W544" s="3"/>
      <c r="X544" s="3"/>
      <c r="Y544" s="3"/>
      <c r="Z544" s="3"/>
    </row>
    <row r="545" spans="1:26" ht="26.25" customHeight="1" x14ac:dyDescent="0.3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69"/>
      <c r="V545" s="3"/>
      <c r="W545" s="3"/>
      <c r="X545" s="3"/>
      <c r="Y545" s="3"/>
      <c r="Z545" s="3"/>
    </row>
    <row r="546" spans="1:26" ht="26.25" customHeight="1" x14ac:dyDescent="0.3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69"/>
      <c r="V546" s="3"/>
      <c r="W546" s="3"/>
      <c r="X546" s="3"/>
      <c r="Y546" s="3"/>
      <c r="Z546" s="3"/>
    </row>
    <row r="547" spans="1:26" ht="26.25" customHeight="1" x14ac:dyDescent="0.3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69"/>
      <c r="V547" s="3"/>
      <c r="W547" s="3"/>
      <c r="X547" s="3"/>
      <c r="Y547" s="3"/>
      <c r="Z547" s="3"/>
    </row>
    <row r="548" spans="1:26" ht="26.25" customHeight="1" x14ac:dyDescent="0.3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69"/>
      <c r="V548" s="3"/>
      <c r="W548" s="3"/>
      <c r="X548" s="3"/>
      <c r="Y548" s="3"/>
      <c r="Z548" s="3"/>
    </row>
    <row r="549" spans="1:26" ht="26.25" customHeight="1" x14ac:dyDescent="0.3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69"/>
      <c r="V549" s="3"/>
      <c r="W549" s="3"/>
      <c r="X549" s="3"/>
      <c r="Y549" s="3"/>
      <c r="Z549" s="3"/>
    </row>
    <row r="550" spans="1:26" ht="26.25" customHeight="1" x14ac:dyDescent="0.3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69"/>
      <c r="V550" s="3"/>
      <c r="W550" s="3"/>
      <c r="X550" s="3"/>
      <c r="Y550" s="3"/>
      <c r="Z550" s="3"/>
    </row>
    <row r="551" spans="1:26" ht="26.25" customHeight="1" x14ac:dyDescent="0.3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69"/>
      <c r="V551" s="3"/>
      <c r="W551" s="3"/>
      <c r="X551" s="3"/>
      <c r="Y551" s="3"/>
      <c r="Z551" s="3"/>
    </row>
    <row r="552" spans="1:26" ht="26.25" customHeight="1" x14ac:dyDescent="0.3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69"/>
      <c r="V552" s="3"/>
      <c r="W552" s="3"/>
      <c r="X552" s="3"/>
      <c r="Y552" s="3"/>
      <c r="Z552" s="3"/>
    </row>
    <row r="553" spans="1:26" ht="26.25" customHeight="1" x14ac:dyDescent="0.3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69"/>
      <c r="V553" s="3"/>
      <c r="W553" s="3"/>
      <c r="X553" s="3"/>
      <c r="Y553" s="3"/>
      <c r="Z553" s="3"/>
    </row>
    <row r="554" spans="1:26" ht="26.25" customHeight="1" x14ac:dyDescent="0.3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69"/>
      <c r="V554" s="3"/>
      <c r="W554" s="3"/>
      <c r="X554" s="3"/>
      <c r="Y554" s="3"/>
      <c r="Z554" s="3"/>
    </row>
    <row r="555" spans="1:26" ht="26.25" customHeight="1" x14ac:dyDescent="0.3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69"/>
      <c r="V555" s="3"/>
      <c r="W555" s="3"/>
      <c r="X555" s="3"/>
      <c r="Y555" s="3"/>
      <c r="Z555" s="3"/>
    </row>
    <row r="556" spans="1:26" ht="26.25" customHeight="1" x14ac:dyDescent="0.3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69"/>
      <c r="V556" s="3"/>
      <c r="W556" s="3"/>
      <c r="X556" s="3"/>
      <c r="Y556" s="3"/>
      <c r="Z556" s="3"/>
    </row>
    <row r="557" spans="1:26" ht="26.25" customHeight="1" x14ac:dyDescent="0.3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69"/>
      <c r="V557" s="3"/>
      <c r="W557" s="3"/>
      <c r="X557" s="3"/>
      <c r="Y557" s="3"/>
      <c r="Z557" s="3"/>
    </row>
    <row r="558" spans="1:26" ht="26.25" customHeight="1" x14ac:dyDescent="0.3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69"/>
      <c r="V558" s="3"/>
      <c r="W558" s="3"/>
      <c r="X558" s="3"/>
      <c r="Y558" s="3"/>
      <c r="Z558" s="3"/>
    </row>
    <row r="559" spans="1:26" ht="26.25" customHeight="1" x14ac:dyDescent="0.3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69"/>
      <c r="V559" s="3"/>
      <c r="W559" s="3"/>
      <c r="X559" s="3"/>
      <c r="Y559" s="3"/>
      <c r="Z559" s="3"/>
    </row>
    <row r="560" spans="1:26" ht="26.25" customHeight="1" x14ac:dyDescent="0.3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69"/>
      <c r="V560" s="3"/>
      <c r="W560" s="3"/>
      <c r="X560" s="3"/>
      <c r="Y560" s="3"/>
      <c r="Z560" s="3"/>
    </row>
    <row r="561" spans="1:26" ht="26.25" customHeight="1" x14ac:dyDescent="0.3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69"/>
      <c r="V561" s="3"/>
      <c r="W561" s="3"/>
      <c r="X561" s="3"/>
      <c r="Y561" s="3"/>
      <c r="Z561" s="3"/>
    </row>
    <row r="562" spans="1:26" ht="26.25" customHeight="1" x14ac:dyDescent="0.3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69"/>
      <c r="V562" s="3"/>
      <c r="W562" s="3"/>
      <c r="X562" s="3"/>
      <c r="Y562" s="3"/>
      <c r="Z562" s="3"/>
    </row>
    <row r="563" spans="1:26" ht="26.25" customHeight="1" x14ac:dyDescent="0.3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69"/>
      <c r="V563" s="3"/>
      <c r="W563" s="3"/>
      <c r="X563" s="3"/>
      <c r="Y563" s="3"/>
      <c r="Z563" s="3"/>
    </row>
    <row r="564" spans="1:26" ht="26.25" customHeight="1" x14ac:dyDescent="0.3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69"/>
      <c r="V564" s="3"/>
      <c r="W564" s="3"/>
      <c r="X564" s="3"/>
      <c r="Y564" s="3"/>
      <c r="Z564" s="3"/>
    </row>
    <row r="565" spans="1:26" ht="26.25" customHeight="1" x14ac:dyDescent="0.3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69"/>
      <c r="V565" s="3"/>
      <c r="W565" s="3"/>
      <c r="X565" s="3"/>
      <c r="Y565" s="3"/>
      <c r="Z565" s="3"/>
    </row>
    <row r="566" spans="1:26" ht="26.25" customHeight="1" x14ac:dyDescent="0.3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69"/>
      <c r="V566" s="3"/>
      <c r="W566" s="3"/>
      <c r="X566" s="3"/>
      <c r="Y566" s="3"/>
      <c r="Z566" s="3"/>
    </row>
    <row r="567" spans="1:26" ht="26.25" customHeight="1" x14ac:dyDescent="0.3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69"/>
      <c r="V567" s="3"/>
      <c r="W567" s="3"/>
      <c r="X567" s="3"/>
      <c r="Y567" s="3"/>
      <c r="Z567" s="3"/>
    </row>
    <row r="568" spans="1:26" ht="26.25" customHeight="1" x14ac:dyDescent="0.3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69"/>
      <c r="V568" s="3"/>
      <c r="W568" s="3"/>
      <c r="X568" s="3"/>
      <c r="Y568" s="3"/>
      <c r="Z568" s="3"/>
    </row>
    <row r="569" spans="1:26" ht="26.25" customHeight="1" x14ac:dyDescent="0.3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69"/>
      <c r="V569" s="3"/>
      <c r="W569" s="3"/>
      <c r="X569" s="3"/>
      <c r="Y569" s="3"/>
      <c r="Z569" s="3"/>
    </row>
    <row r="570" spans="1:26" ht="26.25" customHeight="1" x14ac:dyDescent="0.3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69"/>
      <c r="V570" s="3"/>
      <c r="W570" s="3"/>
      <c r="X570" s="3"/>
      <c r="Y570" s="3"/>
      <c r="Z570" s="3"/>
    </row>
    <row r="571" spans="1:26" ht="26.25" customHeight="1" x14ac:dyDescent="0.3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69"/>
      <c r="V571" s="3"/>
      <c r="W571" s="3"/>
      <c r="X571" s="3"/>
      <c r="Y571" s="3"/>
      <c r="Z571" s="3"/>
    </row>
    <row r="572" spans="1:26" ht="26.25" customHeight="1" x14ac:dyDescent="0.3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69"/>
      <c r="V572" s="3"/>
      <c r="W572" s="3"/>
      <c r="X572" s="3"/>
      <c r="Y572" s="3"/>
      <c r="Z572" s="3"/>
    </row>
    <row r="573" spans="1:26" ht="26.25" customHeight="1" x14ac:dyDescent="0.3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69"/>
      <c r="V573" s="3"/>
      <c r="W573" s="3"/>
      <c r="X573" s="3"/>
      <c r="Y573" s="3"/>
      <c r="Z573" s="3"/>
    </row>
    <row r="574" spans="1:26" ht="26.25" customHeight="1" x14ac:dyDescent="0.3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69"/>
      <c r="V574" s="3"/>
      <c r="W574" s="3"/>
      <c r="X574" s="3"/>
      <c r="Y574" s="3"/>
      <c r="Z574" s="3"/>
    </row>
    <row r="575" spans="1:26" ht="26.25" customHeight="1" x14ac:dyDescent="0.3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69"/>
      <c r="V575" s="3"/>
      <c r="W575" s="3"/>
      <c r="X575" s="3"/>
      <c r="Y575" s="3"/>
      <c r="Z575" s="3"/>
    </row>
    <row r="576" spans="1:26" ht="26.25" customHeight="1" x14ac:dyDescent="0.3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69"/>
      <c r="V576" s="3"/>
      <c r="W576" s="3"/>
      <c r="X576" s="3"/>
      <c r="Y576" s="3"/>
      <c r="Z576" s="3"/>
    </row>
    <row r="577" spans="1:26" ht="26.25" customHeight="1" x14ac:dyDescent="0.3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69"/>
      <c r="V577" s="3"/>
      <c r="W577" s="3"/>
      <c r="X577" s="3"/>
      <c r="Y577" s="3"/>
      <c r="Z577" s="3"/>
    </row>
    <row r="578" spans="1:26" ht="26.25" customHeight="1" x14ac:dyDescent="0.3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69"/>
      <c r="V578" s="3"/>
      <c r="W578" s="3"/>
      <c r="X578" s="3"/>
      <c r="Y578" s="3"/>
      <c r="Z578" s="3"/>
    </row>
    <row r="579" spans="1:26" ht="26.25" customHeight="1" x14ac:dyDescent="0.3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69"/>
      <c r="V579" s="3"/>
      <c r="W579" s="3"/>
      <c r="X579" s="3"/>
      <c r="Y579" s="3"/>
      <c r="Z579" s="3"/>
    </row>
    <row r="580" spans="1:26" ht="26.25" customHeight="1" x14ac:dyDescent="0.3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69"/>
      <c r="V580" s="3"/>
      <c r="W580" s="3"/>
      <c r="X580" s="3"/>
      <c r="Y580" s="3"/>
      <c r="Z580" s="3"/>
    </row>
    <row r="581" spans="1:26" ht="26.25" customHeight="1" x14ac:dyDescent="0.3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69"/>
      <c r="V581" s="3"/>
      <c r="W581" s="3"/>
      <c r="X581" s="3"/>
      <c r="Y581" s="3"/>
      <c r="Z581" s="3"/>
    </row>
    <row r="582" spans="1:26" ht="26.25" customHeight="1" x14ac:dyDescent="0.3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69"/>
      <c r="V582" s="3"/>
      <c r="W582" s="3"/>
      <c r="X582" s="3"/>
      <c r="Y582" s="3"/>
      <c r="Z582" s="3"/>
    </row>
    <row r="583" spans="1:26" ht="26.25" customHeight="1" x14ac:dyDescent="0.3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69"/>
      <c r="V583" s="3"/>
      <c r="W583" s="3"/>
      <c r="X583" s="3"/>
      <c r="Y583" s="3"/>
      <c r="Z583" s="3"/>
    </row>
    <row r="584" spans="1:26" ht="26.25" customHeight="1" x14ac:dyDescent="0.3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69"/>
      <c r="V584" s="3"/>
      <c r="W584" s="3"/>
      <c r="X584" s="3"/>
      <c r="Y584" s="3"/>
      <c r="Z584" s="3"/>
    </row>
    <row r="585" spans="1:26" ht="26.25" customHeight="1" x14ac:dyDescent="0.3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69"/>
      <c r="V585" s="3"/>
      <c r="W585" s="3"/>
      <c r="X585" s="3"/>
      <c r="Y585" s="3"/>
      <c r="Z585" s="3"/>
    </row>
    <row r="586" spans="1:26" ht="26.25" customHeight="1" x14ac:dyDescent="0.3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69"/>
      <c r="V586" s="3"/>
      <c r="W586" s="3"/>
      <c r="X586" s="3"/>
      <c r="Y586" s="3"/>
      <c r="Z586" s="3"/>
    </row>
    <row r="587" spans="1:26" ht="26.25" customHeight="1" x14ac:dyDescent="0.3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69"/>
      <c r="V587" s="3"/>
      <c r="W587" s="3"/>
      <c r="X587" s="3"/>
      <c r="Y587" s="3"/>
      <c r="Z587" s="3"/>
    </row>
    <row r="588" spans="1:26" ht="26.25" customHeight="1" x14ac:dyDescent="0.3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69"/>
      <c r="V588" s="3"/>
      <c r="W588" s="3"/>
      <c r="X588" s="3"/>
      <c r="Y588" s="3"/>
      <c r="Z588" s="3"/>
    </row>
    <row r="589" spans="1:26" ht="26.25" customHeight="1" x14ac:dyDescent="0.3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69"/>
      <c r="V589" s="3"/>
      <c r="W589" s="3"/>
      <c r="X589" s="3"/>
      <c r="Y589" s="3"/>
      <c r="Z589" s="3"/>
    </row>
    <row r="590" spans="1:26" ht="26.25" customHeight="1" x14ac:dyDescent="0.3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69"/>
      <c r="V590" s="3"/>
      <c r="W590" s="3"/>
      <c r="X590" s="3"/>
      <c r="Y590" s="3"/>
      <c r="Z590" s="3"/>
    </row>
    <row r="591" spans="1:26" ht="26.25" customHeight="1" x14ac:dyDescent="0.3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69"/>
      <c r="V591" s="3"/>
      <c r="W591" s="3"/>
      <c r="X591" s="3"/>
      <c r="Y591" s="3"/>
      <c r="Z591" s="3"/>
    </row>
    <row r="592" spans="1:26" ht="26.25" customHeight="1" x14ac:dyDescent="0.3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69"/>
      <c r="V592" s="3"/>
      <c r="W592" s="3"/>
      <c r="X592" s="3"/>
      <c r="Y592" s="3"/>
      <c r="Z592" s="3"/>
    </row>
    <row r="593" spans="1:26" ht="26.25" customHeight="1" x14ac:dyDescent="0.3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69"/>
      <c r="V593" s="3"/>
      <c r="W593" s="3"/>
      <c r="X593" s="3"/>
      <c r="Y593" s="3"/>
      <c r="Z593" s="3"/>
    </row>
    <row r="594" spans="1:26" ht="26.25" customHeight="1" x14ac:dyDescent="0.3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69"/>
      <c r="V594" s="3"/>
      <c r="W594" s="3"/>
      <c r="X594" s="3"/>
      <c r="Y594" s="3"/>
      <c r="Z594" s="3"/>
    </row>
    <row r="595" spans="1:26" ht="26.25" customHeight="1" x14ac:dyDescent="0.3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69"/>
      <c r="V595" s="3"/>
      <c r="W595" s="3"/>
      <c r="X595" s="3"/>
      <c r="Y595" s="3"/>
      <c r="Z595" s="3"/>
    </row>
    <row r="596" spans="1:26" ht="26.25" customHeight="1" x14ac:dyDescent="0.3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69"/>
      <c r="V596" s="3"/>
      <c r="W596" s="3"/>
      <c r="X596" s="3"/>
      <c r="Y596" s="3"/>
      <c r="Z596" s="3"/>
    </row>
    <row r="597" spans="1:26" ht="26.25" customHeight="1" x14ac:dyDescent="0.3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69"/>
      <c r="V597" s="3"/>
      <c r="W597" s="3"/>
      <c r="X597" s="3"/>
      <c r="Y597" s="3"/>
      <c r="Z597" s="3"/>
    </row>
    <row r="598" spans="1:26" ht="26.25" customHeight="1" x14ac:dyDescent="0.3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69"/>
      <c r="V598" s="3"/>
      <c r="W598" s="3"/>
      <c r="X598" s="3"/>
      <c r="Y598" s="3"/>
      <c r="Z598" s="3"/>
    </row>
    <row r="599" spans="1:26" ht="26.25" customHeight="1" x14ac:dyDescent="0.3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69"/>
      <c r="V599" s="3"/>
      <c r="W599" s="3"/>
      <c r="X599" s="3"/>
      <c r="Y599" s="3"/>
      <c r="Z599" s="3"/>
    </row>
    <row r="600" spans="1:26" ht="26.25" customHeight="1" x14ac:dyDescent="0.3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69"/>
      <c r="V600" s="3"/>
      <c r="W600" s="3"/>
      <c r="X600" s="3"/>
      <c r="Y600" s="3"/>
      <c r="Z600" s="3"/>
    </row>
    <row r="601" spans="1:26" ht="26.25" customHeight="1" x14ac:dyDescent="0.3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69"/>
      <c r="V601" s="3"/>
      <c r="W601" s="3"/>
      <c r="X601" s="3"/>
      <c r="Y601" s="3"/>
      <c r="Z601" s="3"/>
    </row>
    <row r="602" spans="1:26" ht="26.25" customHeight="1" x14ac:dyDescent="0.3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69"/>
      <c r="V602" s="3"/>
      <c r="W602" s="3"/>
      <c r="X602" s="3"/>
      <c r="Y602" s="3"/>
      <c r="Z602" s="3"/>
    </row>
    <row r="603" spans="1:26" ht="26.25" customHeight="1" x14ac:dyDescent="0.3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69"/>
      <c r="V603" s="3"/>
      <c r="W603" s="3"/>
      <c r="X603" s="3"/>
      <c r="Y603" s="3"/>
      <c r="Z603" s="3"/>
    </row>
    <row r="604" spans="1:26" ht="26.25" customHeight="1" x14ac:dyDescent="0.3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69"/>
      <c r="V604" s="3"/>
      <c r="W604" s="3"/>
      <c r="X604" s="3"/>
      <c r="Y604" s="3"/>
      <c r="Z604" s="3"/>
    </row>
    <row r="605" spans="1:26" ht="26.25" customHeight="1" x14ac:dyDescent="0.3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69"/>
      <c r="V605" s="3"/>
      <c r="W605" s="3"/>
      <c r="X605" s="3"/>
      <c r="Y605" s="3"/>
      <c r="Z605" s="3"/>
    </row>
    <row r="606" spans="1:26" ht="26.25" customHeight="1" x14ac:dyDescent="0.3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69"/>
      <c r="V606" s="3"/>
      <c r="W606" s="3"/>
      <c r="X606" s="3"/>
      <c r="Y606" s="3"/>
      <c r="Z606" s="3"/>
    </row>
    <row r="607" spans="1:26" ht="26.25" customHeight="1" x14ac:dyDescent="0.3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69"/>
      <c r="V607" s="3"/>
      <c r="W607" s="3"/>
      <c r="X607" s="3"/>
      <c r="Y607" s="3"/>
      <c r="Z607" s="3"/>
    </row>
    <row r="608" spans="1:26" ht="26.25" customHeight="1" x14ac:dyDescent="0.3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69"/>
      <c r="V608" s="3"/>
      <c r="W608" s="3"/>
      <c r="X608" s="3"/>
      <c r="Y608" s="3"/>
      <c r="Z608" s="3"/>
    </row>
    <row r="609" spans="1:26" ht="26.25" customHeight="1" x14ac:dyDescent="0.3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69"/>
      <c r="V609" s="3"/>
      <c r="W609" s="3"/>
      <c r="X609" s="3"/>
      <c r="Y609" s="3"/>
      <c r="Z609" s="3"/>
    </row>
    <row r="610" spans="1:26" ht="26.25" customHeight="1" x14ac:dyDescent="0.3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69"/>
      <c r="V610" s="3"/>
      <c r="W610" s="3"/>
      <c r="X610" s="3"/>
      <c r="Y610" s="3"/>
      <c r="Z610" s="3"/>
    </row>
    <row r="611" spans="1:26" ht="26.25" customHeight="1" x14ac:dyDescent="0.3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69"/>
      <c r="V611" s="3"/>
      <c r="W611" s="3"/>
      <c r="X611" s="3"/>
      <c r="Y611" s="3"/>
      <c r="Z611" s="3"/>
    </row>
    <row r="612" spans="1:26" ht="26.25" customHeight="1" x14ac:dyDescent="0.3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69"/>
      <c r="V612" s="3"/>
      <c r="W612" s="3"/>
      <c r="X612" s="3"/>
      <c r="Y612" s="3"/>
      <c r="Z612" s="3"/>
    </row>
    <row r="613" spans="1:26" ht="26.25" customHeight="1" x14ac:dyDescent="0.3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69"/>
      <c r="V613" s="3"/>
      <c r="W613" s="3"/>
      <c r="X613" s="3"/>
      <c r="Y613" s="3"/>
      <c r="Z613" s="3"/>
    </row>
    <row r="614" spans="1:26" ht="26.25" customHeight="1" x14ac:dyDescent="0.3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69"/>
      <c r="V614" s="3"/>
      <c r="W614" s="3"/>
      <c r="X614" s="3"/>
      <c r="Y614" s="3"/>
      <c r="Z614" s="3"/>
    </row>
    <row r="615" spans="1:26" ht="26.25" customHeight="1" x14ac:dyDescent="0.3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69"/>
      <c r="V615" s="3"/>
      <c r="W615" s="3"/>
      <c r="X615" s="3"/>
      <c r="Y615" s="3"/>
      <c r="Z615" s="3"/>
    </row>
    <row r="616" spans="1:26" ht="26.25" customHeight="1" x14ac:dyDescent="0.3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69"/>
      <c r="V616" s="3"/>
      <c r="W616" s="3"/>
      <c r="X616" s="3"/>
      <c r="Y616" s="3"/>
      <c r="Z616" s="3"/>
    </row>
    <row r="617" spans="1:26" ht="26.25" customHeight="1" x14ac:dyDescent="0.3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69"/>
      <c r="V617" s="3"/>
      <c r="W617" s="3"/>
      <c r="X617" s="3"/>
      <c r="Y617" s="3"/>
      <c r="Z617" s="3"/>
    </row>
    <row r="618" spans="1:26" ht="26.25" customHeight="1" x14ac:dyDescent="0.3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69"/>
      <c r="V618" s="3"/>
      <c r="W618" s="3"/>
      <c r="X618" s="3"/>
      <c r="Y618" s="3"/>
      <c r="Z618" s="3"/>
    </row>
    <row r="619" spans="1:26" ht="26.25" customHeight="1" x14ac:dyDescent="0.3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69"/>
      <c r="V619" s="3"/>
      <c r="W619" s="3"/>
      <c r="X619" s="3"/>
      <c r="Y619" s="3"/>
      <c r="Z619" s="3"/>
    </row>
    <row r="620" spans="1:26" ht="26.25" customHeight="1" x14ac:dyDescent="0.3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69"/>
      <c r="V620" s="3"/>
      <c r="W620" s="3"/>
      <c r="X620" s="3"/>
      <c r="Y620" s="3"/>
      <c r="Z620" s="3"/>
    </row>
    <row r="621" spans="1:26" ht="26.25" customHeight="1" x14ac:dyDescent="0.3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69"/>
      <c r="V621" s="3"/>
      <c r="W621" s="3"/>
      <c r="X621" s="3"/>
      <c r="Y621" s="3"/>
      <c r="Z621" s="3"/>
    </row>
    <row r="622" spans="1:26" ht="26.25" customHeight="1" x14ac:dyDescent="0.3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69"/>
      <c r="V622" s="3"/>
      <c r="W622" s="3"/>
      <c r="X622" s="3"/>
      <c r="Y622" s="3"/>
      <c r="Z622" s="3"/>
    </row>
    <row r="623" spans="1:26" ht="26.25" customHeight="1" x14ac:dyDescent="0.3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69"/>
      <c r="V623" s="3"/>
      <c r="W623" s="3"/>
      <c r="X623" s="3"/>
      <c r="Y623" s="3"/>
      <c r="Z623" s="3"/>
    </row>
    <row r="624" spans="1:26" ht="26.25" customHeight="1" x14ac:dyDescent="0.3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69"/>
      <c r="V624" s="3"/>
      <c r="W624" s="3"/>
      <c r="X624" s="3"/>
      <c r="Y624" s="3"/>
      <c r="Z624" s="3"/>
    </row>
    <row r="625" spans="1:26" ht="26.25" customHeight="1" x14ac:dyDescent="0.3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69"/>
      <c r="V625" s="3"/>
      <c r="W625" s="3"/>
      <c r="X625" s="3"/>
      <c r="Y625" s="3"/>
      <c r="Z625" s="3"/>
    </row>
    <row r="626" spans="1:26" ht="26.25" customHeight="1" x14ac:dyDescent="0.3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69"/>
      <c r="V626" s="3"/>
      <c r="W626" s="3"/>
      <c r="X626" s="3"/>
      <c r="Y626" s="3"/>
      <c r="Z626" s="3"/>
    </row>
    <row r="627" spans="1:26" ht="26.25" customHeight="1" x14ac:dyDescent="0.3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69"/>
      <c r="V627" s="3"/>
      <c r="W627" s="3"/>
      <c r="X627" s="3"/>
      <c r="Y627" s="3"/>
      <c r="Z627" s="3"/>
    </row>
    <row r="628" spans="1:26" ht="26.25" customHeight="1" x14ac:dyDescent="0.3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69"/>
      <c r="V628" s="3"/>
      <c r="W628" s="3"/>
      <c r="X628" s="3"/>
      <c r="Y628" s="3"/>
      <c r="Z628" s="3"/>
    </row>
    <row r="629" spans="1:26" ht="26.25" customHeight="1" x14ac:dyDescent="0.3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69"/>
      <c r="V629" s="3"/>
      <c r="W629" s="3"/>
      <c r="X629" s="3"/>
      <c r="Y629" s="3"/>
      <c r="Z629" s="3"/>
    </row>
    <row r="630" spans="1:26" ht="26.25" customHeight="1" x14ac:dyDescent="0.3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69"/>
      <c r="V630" s="3"/>
      <c r="W630" s="3"/>
      <c r="X630" s="3"/>
      <c r="Y630" s="3"/>
      <c r="Z630" s="3"/>
    </row>
    <row r="631" spans="1:26" ht="26.25" customHeight="1" x14ac:dyDescent="0.3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69"/>
      <c r="V631" s="3"/>
      <c r="W631" s="3"/>
      <c r="X631" s="3"/>
      <c r="Y631" s="3"/>
      <c r="Z631" s="3"/>
    </row>
    <row r="632" spans="1:26" ht="26.25" customHeight="1" x14ac:dyDescent="0.3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69"/>
      <c r="V632" s="3"/>
      <c r="W632" s="3"/>
      <c r="X632" s="3"/>
      <c r="Y632" s="3"/>
      <c r="Z632" s="3"/>
    </row>
    <row r="633" spans="1:26" ht="26.25" customHeight="1" x14ac:dyDescent="0.3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69"/>
      <c r="V633" s="3"/>
      <c r="W633" s="3"/>
      <c r="X633" s="3"/>
      <c r="Y633" s="3"/>
      <c r="Z633" s="3"/>
    </row>
    <row r="634" spans="1:26" ht="26.25" customHeight="1" x14ac:dyDescent="0.3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69"/>
      <c r="V634" s="3"/>
      <c r="W634" s="3"/>
      <c r="X634" s="3"/>
      <c r="Y634" s="3"/>
      <c r="Z634" s="3"/>
    </row>
    <row r="635" spans="1:26" ht="26.25" customHeight="1" x14ac:dyDescent="0.3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69"/>
      <c r="V635" s="3"/>
      <c r="W635" s="3"/>
      <c r="X635" s="3"/>
      <c r="Y635" s="3"/>
      <c r="Z635" s="3"/>
    </row>
    <row r="636" spans="1:26" ht="26.25" customHeight="1" x14ac:dyDescent="0.3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69"/>
      <c r="V636" s="3"/>
      <c r="W636" s="3"/>
      <c r="X636" s="3"/>
      <c r="Y636" s="3"/>
      <c r="Z636" s="3"/>
    </row>
    <row r="637" spans="1:26" ht="26.25" customHeight="1" x14ac:dyDescent="0.3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69"/>
      <c r="V637" s="3"/>
      <c r="W637" s="3"/>
      <c r="X637" s="3"/>
      <c r="Y637" s="3"/>
      <c r="Z637" s="3"/>
    </row>
    <row r="638" spans="1:26" ht="26.25" customHeight="1" x14ac:dyDescent="0.3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69"/>
      <c r="V638" s="3"/>
      <c r="W638" s="3"/>
      <c r="X638" s="3"/>
      <c r="Y638" s="3"/>
      <c r="Z638" s="3"/>
    </row>
    <row r="639" spans="1:26" ht="26.25" customHeight="1" x14ac:dyDescent="0.3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69"/>
      <c r="V639" s="3"/>
      <c r="W639" s="3"/>
      <c r="X639" s="3"/>
      <c r="Y639" s="3"/>
      <c r="Z639" s="3"/>
    </row>
    <row r="640" spans="1:26" ht="26.25" customHeight="1" x14ac:dyDescent="0.3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69"/>
      <c r="V640" s="3"/>
      <c r="W640" s="3"/>
      <c r="X640" s="3"/>
      <c r="Y640" s="3"/>
      <c r="Z640" s="3"/>
    </row>
    <row r="641" spans="1:26" ht="26.25" customHeight="1" x14ac:dyDescent="0.3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69"/>
      <c r="V641" s="3"/>
      <c r="W641" s="3"/>
      <c r="X641" s="3"/>
      <c r="Y641" s="3"/>
      <c r="Z641" s="3"/>
    </row>
    <row r="642" spans="1:26" ht="26.25" customHeight="1" x14ac:dyDescent="0.3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69"/>
      <c r="V642" s="3"/>
      <c r="W642" s="3"/>
      <c r="X642" s="3"/>
      <c r="Y642" s="3"/>
      <c r="Z642" s="3"/>
    </row>
    <row r="643" spans="1:26" ht="26.25" customHeight="1" x14ac:dyDescent="0.3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69"/>
      <c r="V643" s="3"/>
      <c r="W643" s="3"/>
      <c r="X643" s="3"/>
      <c r="Y643" s="3"/>
      <c r="Z643" s="3"/>
    </row>
    <row r="644" spans="1:26" ht="26.25" customHeight="1" x14ac:dyDescent="0.3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69"/>
      <c r="V644" s="3"/>
      <c r="W644" s="3"/>
      <c r="X644" s="3"/>
      <c r="Y644" s="3"/>
      <c r="Z644" s="3"/>
    </row>
    <row r="645" spans="1:26" ht="26.25" customHeight="1" x14ac:dyDescent="0.3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69"/>
      <c r="V645" s="3"/>
      <c r="W645" s="3"/>
      <c r="X645" s="3"/>
      <c r="Y645" s="3"/>
      <c r="Z645" s="3"/>
    </row>
    <row r="646" spans="1:26" ht="26.25" customHeight="1" x14ac:dyDescent="0.3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69"/>
      <c r="V646" s="3"/>
      <c r="W646" s="3"/>
      <c r="X646" s="3"/>
      <c r="Y646" s="3"/>
      <c r="Z646" s="3"/>
    </row>
    <row r="647" spans="1:26" ht="26.25" customHeight="1" x14ac:dyDescent="0.3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69"/>
      <c r="V647" s="3"/>
      <c r="W647" s="3"/>
      <c r="X647" s="3"/>
      <c r="Y647" s="3"/>
      <c r="Z647" s="3"/>
    </row>
    <row r="648" spans="1:26" ht="26.25" customHeight="1" x14ac:dyDescent="0.3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69"/>
      <c r="V648" s="3"/>
      <c r="W648" s="3"/>
      <c r="X648" s="3"/>
      <c r="Y648" s="3"/>
      <c r="Z648" s="3"/>
    </row>
    <row r="649" spans="1:26" ht="26.25" customHeight="1" x14ac:dyDescent="0.3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69"/>
      <c r="V649" s="3"/>
      <c r="W649" s="3"/>
      <c r="X649" s="3"/>
      <c r="Y649" s="3"/>
      <c r="Z649" s="3"/>
    </row>
    <row r="650" spans="1:26" ht="26.25" customHeight="1" x14ac:dyDescent="0.3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69"/>
      <c r="V650" s="3"/>
      <c r="W650" s="3"/>
      <c r="X650" s="3"/>
      <c r="Y650" s="3"/>
      <c r="Z650" s="3"/>
    </row>
    <row r="651" spans="1:26" ht="26.25" customHeight="1" x14ac:dyDescent="0.3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69"/>
      <c r="V651" s="3"/>
      <c r="W651" s="3"/>
      <c r="X651" s="3"/>
      <c r="Y651" s="3"/>
      <c r="Z651" s="3"/>
    </row>
    <row r="652" spans="1:26" ht="26.25" customHeight="1" x14ac:dyDescent="0.3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69"/>
      <c r="V652" s="3"/>
      <c r="W652" s="3"/>
      <c r="X652" s="3"/>
      <c r="Y652" s="3"/>
      <c r="Z652" s="3"/>
    </row>
    <row r="653" spans="1:26" ht="26.25" customHeight="1" x14ac:dyDescent="0.3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69"/>
      <c r="V653" s="3"/>
      <c r="W653" s="3"/>
      <c r="X653" s="3"/>
      <c r="Y653" s="3"/>
      <c r="Z653" s="3"/>
    </row>
    <row r="654" spans="1:26" ht="26.25" customHeight="1" x14ac:dyDescent="0.3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69"/>
      <c r="V654" s="3"/>
      <c r="W654" s="3"/>
      <c r="X654" s="3"/>
      <c r="Y654" s="3"/>
      <c r="Z654" s="3"/>
    </row>
    <row r="655" spans="1:26" ht="26.25" customHeight="1" x14ac:dyDescent="0.3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69"/>
      <c r="V655" s="3"/>
      <c r="W655" s="3"/>
      <c r="X655" s="3"/>
      <c r="Y655" s="3"/>
      <c r="Z655" s="3"/>
    </row>
    <row r="656" spans="1:26" ht="26.25" customHeight="1" x14ac:dyDescent="0.3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69"/>
      <c r="V656" s="3"/>
      <c r="W656" s="3"/>
      <c r="X656" s="3"/>
      <c r="Y656" s="3"/>
      <c r="Z656" s="3"/>
    </row>
    <row r="657" spans="1:26" ht="26.25" customHeight="1" x14ac:dyDescent="0.3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69"/>
      <c r="V657" s="3"/>
      <c r="W657" s="3"/>
      <c r="X657" s="3"/>
      <c r="Y657" s="3"/>
      <c r="Z657" s="3"/>
    </row>
    <row r="658" spans="1:26" ht="26.25" customHeight="1" x14ac:dyDescent="0.3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69"/>
      <c r="V658" s="3"/>
      <c r="W658" s="3"/>
      <c r="X658" s="3"/>
      <c r="Y658" s="3"/>
      <c r="Z658" s="3"/>
    </row>
    <row r="659" spans="1:26" ht="26.25" customHeight="1" x14ac:dyDescent="0.3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69"/>
      <c r="V659" s="3"/>
      <c r="W659" s="3"/>
      <c r="X659" s="3"/>
      <c r="Y659" s="3"/>
      <c r="Z659" s="3"/>
    </row>
    <row r="660" spans="1:26" ht="26.25" customHeight="1" x14ac:dyDescent="0.3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69"/>
      <c r="V660" s="3"/>
      <c r="W660" s="3"/>
      <c r="X660" s="3"/>
      <c r="Y660" s="3"/>
      <c r="Z660" s="3"/>
    </row>
    <row r="661" spans="1:26" ht="26.25" customHeight="1" x14ac:dyDescent="0.3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69"/>
      <c r="V661" s="3"/>
      <c r="W661" s="3"/>
      <c r="X661" s="3"/>
      <c r="Y661" s="3"/>
      <c r="Z661" s="3"/>
    </row>
    <row r="662" spans="1:26" ht="26.25" customHeight="1" x14ac:dyDescent="0.3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69"/>
      <c r="V662" s="3"/>
      <c r="W662" s="3"/>
      <c r="X662" s="3"/>
      <c r="Y662" s="3"/>
      <c r="Z662" s="3"/>
    </row>
    <row r="663" spans="1:26" ht="26.25" customHeight="1" x14ac:dyDescent="0.3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69"/>
      <c r="V663" s="3"/>
      <c r="W663" s="3"/>
      <c r="X663" s="3"/>
      <c r="Y663" s="3"/>
      <c r="Z663" s="3"/>
    </row>
    <row r="664" spans="1:26" ht="26.25" customHeight="1" x14ac:dyDescent="0.3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69"/>
      <c r="V664" s="3"/>
      <c r="W664" s="3"/>
      <c r="X664" s="3"/>
      <c r="Y664" s="3"/>
      <c r="Z664" s="3"/>
    </row>
    <row r="665" spans="1:26" ht="26.25" customHeight="1" x14ac:dyDescent="0.3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69"/>
      <c r="V665" s="3"/>
      <c r="W665" s="3"/>
      <c r="X665" s="3"/>
      <c r="Y665" s="3"/>
      <c r="Z665" s="3"/>
    </row>
    <row r="666" spans="1:26" ht="26.25" customHeight="1" x14ac:dyDescent="0.3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69"/>
      <c r="V666" s="3"/>
      <c r="W666" s="3"/>
      <c r="X666" s="3"/>
      <c r="Y666" s="3"/>
      <c r="Z666" s="3"/>
    </row>
    <row r="667" spans="1:26" ht="26.25" customHeight="1" x14ac:dyDescent="0.3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69"/>
      <c r="V667" s="3"/>
      <c r="W667" s="3"/>
      <c r="X667" s="3"/>
      <c r="Y667" s="3"/>
      <c r="Z667" s="3"/>
    </row>
    <row r="668" spans="1:26" ht="26.25" customHeight="1" x14ac:dyDescent="0.3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69"/>
      <c r="V668" s="3"/>
      <c r="W668" s="3"/>
      <c r="X668" s="3"/>
      <c r="Y668" s="3"/>
      <c r="Z668" s="3"/>
    </row>
    <row r="669" spans="1:26" ht="26.25" customHeight="1" x14ac:dyDescent="0.3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69"/>
      <c r="V669" s="3"/>
      <c r="W669" s="3"/>
      <c r="X669" s="3"/>
      <c r="Y669" s="3"/>
      <c r="Z669" s="3"/>
    </row>
    <row r="670" spans="1:26" ht="26.25" customHeight="1" x14ac:dyDescent="0.3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69"/>
      <c r="V670" s="3"/>
      <c r="W670" s="3"/>
      <c r="X670" s="3"/>
      <c r="Y670" s="3"/>
      <c r="Z670" s="3"/>
    </row>
    <row r="671" spans="1:26" ht="26.25" customHeight="1" x14ac:dyDescent="0.3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69"/>
      <c r="V671" s="3"/>
      <c r="W671" s="3"/>
      <c r="X671" s="3"/>
      <c r="Y671" s="3"/>
      <c r="Z671" s="3"/>
    </row>
    <row r="672" spans="1:26" ht="26.25" customHeight="1" x14ac:dyDescent="0.3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69"/>
      <c r="V672" s="3"/>
      <c r="W672" s="3"/>
      <c r="X672" s="3"/>
      <c r="Y672" s="3"/>
      <c r="Z672" s="3"/>
    </row>
    <row r="673" spans="1:26" ht="26.25" customHeight="1" x14ac:dyDescent="0.3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69"/>
      <c r="V673" s="3"/>
      <c r="W673" s="3"/>
      <c r="X673" s="3"/>
      <c r="Y673" s="3"/>
      <c r="Z673" s="3"/>
    </row>
    <row r="674" spans="1:26" ht="26.25" customHeight="1" x14ac:dyDescent="0.3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69"/>
      <c r="V674" s="3"/>
      <c r="W674" s="3"/>
      <c r="X674" s="3"/>
      <c r="Y674" s="3"/>
      <c r="Z674" s="3"/>
    </row>
    <row r="675" spans="1:26" ht="26.25" customHeight="1" x14ac:dyDescent="0.3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69"/>
      <c r="V675" s="3"/>
      <c r="W675" s="3"/>
      <c r="X675" s="3"/>
      <c r="Y675" s="3"/>
      <c r="Z675" s="3"/>
    </row>
    <row r="676" spans="1:26" ht="26.25" customHeight="1" x14ac:dyDescent="0.3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69"/>
      <c r="V676" s="3"/>
      <c r="W676" s="3"/>
      <c r="X676" s="3"/>
      <c r="Y676" s="3"/>
      <c r="Z676" s="3"/>
    </row>
    <row r="677" spans="1:26" ht="26.25" customHeight="1" x14ac:dyDescent="0.3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69"/>
      <c r="V677" s="3"/>
      <c r="W677" s="3"/>
      <c r="X677" s="3"/>
      <c r="Y677" s="3"/>
      <c r="Z677" s="3"/>
    </row>
    <row r="678" spans="1:26" ht="26.25" customHeight="1" x14ac:dyDescent="0.3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69"/>
      <c r="V678" s="3"/>
      <c r="W678" s="3"/>
      <c r="X678" s="3"/>
      <c r="Y678" s="3"/>
      <c r="Z678" s="3"/>
    </row>
    <row r="679" spans="1:26" ht="26.25" customHeight="1" x14ac:dyDescent="0.3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69"/>
      <c r="V679" s="3"/>
      <c r="W679" s="3"/>
      <c r="X679" s="3"/>
      <c r="Y679" s="3"/>
      <c r="Z679" s="3"/>
    </row>
    <row r="680" spans="1:26" ht="26.25" customHeight="1" x14ac:dyDescent="0.3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69"/>
      <c r="V680" s="3"/>
      <c r="W680" s="3"/>
      <c r="X680" s="3"/>
      <c r="Y680" s="3"/>
      <c r="Z680" s="3"/>
    </row>
    <row r="681" spans="1:26" ht="26.25" customHeight="1" x14ac:dyDescent="0.3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69"/>
      <c r="V681" s="3"/>
      <c r="W681" s="3"/>
      <c r="X681" s="3"/>
      <c r="Y681" s="3"/>
      <c r="Z681" s="3"/>
    </row>
    <row r="682" spans="1:26" ht="26.25" customHeight="1" x14ac:dyDescent="0.3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69"/>
      <c r="V682" s="3"/>
      <c r="W682" s="3"/>
      <c r="X682" s="3"/>
      <c r="Y682" s="3"/>
      <c r="Z682" s="3"/>
    </row>
    <row r="683" spans="1:26" ht="26.25" customHeight="1" x14ac:dyDescent="0.3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69"/>
      <c r="V683" s="3"/>
      <c r="W683" s="3"/>
      <c r="X683" s="3"/>
      <c r="Y683" s="3"/>
      <c r="Z683" s="3"/>
    </row>
    <row r="684" spans="1:26" ht="26.25" customHeight="1" x14ac:dyDescent="0.3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69"/>
      <c r="V684" s="3"/>
      <c r="W684" s="3"/>
      <c r="X684" s="3"/>
      <c r="Y684" s="3"/>
      <c r="Z684" s="3"/>
    </row>
    <row r="685" spans="1:26" ht="26.25" customHeight="1" x14ac:dyDescent="0.3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69"/>
      <c r="V685" s="3"/>
      <c r="W685" s="3"/>
      <c r="X685" s="3"/>
      <c r="Y685" s="3"/>
      <c r="Z685" s="3"/>
    </row>
    <row r="686" spans="1:26" ht="26.25" customHeight="1" x14ac:dyDescent="0.3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69"/>
      <c r="V686" s="3"/>
      <c r="W686" s="3"/>
      <c r="X686" s="3"/>
      <c r="Y686" s="3"/>
      <c r="Z686" s="3"/>
    </row>
    <row r="687" spans="1:26" ht="26.25" customHeight="1" x14ac:dyDescent="0.3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69"/>
      <c r="V687" s="3"/>
      <c r="W687" s="3"/>
      <c r="X687" s="3"/>
      <c r="Y687" s="3"/>
      <c r="Z687" s="3"/>
    </row>
    <row r="688" spans="1:26" ht="26.25" customHeight="1" x14ac:dyDescent="0.3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69"/>
      <c r="V688" s="3"/>
      <c r="W688" s="3"/>
      <c r="X688" s="3"/>
      <c r="Y688" s="3"/>
      <c r="Z688" s="3"/>
    </row>
    <row r="689" spans="1:26" ht="26.25" customHeight="1" x14ac:dyDescent="0.3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69"/>
      <c r="V689" s="3"/>
      <c r="W689" s="3"/>
      <c r="X689" s="3"/>
      <c r="Y689" s="3"/>
      <c r="Z689" s="3"/>
    </row>
    <row r="690" spans="1:26" ht="26.25" customHeight="1" x14ac:dyDescent="0.3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69"/>
      <c r="V690" s="3"/>
      <c r="W690" s="3"/>
      <c r="X690" s="3"/>
      <c r="Y690" s="3"/>
      <c r="Z690" s="3"/>
    </row>
    <row r="691" spans="1:26" ht="26.25" customHeight="1" x14ac:dyDescent="0.3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69"/>
      <c r="V691" s="3"/>
      <c r="W691" s="3"/>
      <c r="X691" s="3"/>
      <c r="Y691" s="3"/>
      <c r="Z691" s="3"/>
    </row>
    <row r="692" spans="1:26" ht="26.25" customHeight="1" x14ac:dyDescent="0.3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69"/>
      <c r="V692" s="3"/>
      <c r="W692" s="3"/>
      <c r="X692" s="3"/>
      <c r="Y692" s="3"/>
      <c r="Z692" s="3"/>
    </row>
    <row r="693" spans="1:26" ht="26.25" customHeight="1" x14ac:dyDescent="0.3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69"/>
      <c r="V693" s="3"/>
      <c r="W693" s="3"/>
      <c r="X693" s="3"/>
      <c r="Y693" s="3"/>
      <c r="Z693" s="3"/>
    </row>
    <row r="694" spans="1:26" ht="26.25" customHeight="1" x14ac:dyDescent="0.3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69"/>
      <c r="V694" s="3"/>
      <c r="W694" s="3"/>
      <c r="X694" s="3"/>
      <c r="Y694" s="3"/>
      <c r="Z694" s="3"/>
    </row>
    <row r="695" spans="1:26" ht="26.25" customHeight="1" x14ac:dyDescent="0.3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69"/>
      <c r="V695" s="3"/>
      <c r="W695" s="3"/>
      <c r="X695" s="3"/>
      <c r="Y695" s="3"/>
      <c r="Z695" s="3"/>
    </row>
    <row r="696" spans="1:26" ht="26.25" customHeight="1" x14ac:dyDescent="0.3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69"/>
      <c r="V696" s="3"/>
      <c r="W696" s="3"/>
      <c r="X696" s="3"/>
      <c r="Y696" s="3"/>
      <c r="Z696" s="3"/>
    </row>
    <row r="697" spans="1:26" ht="26.25" customHeight="1" x14ac:dyDescent="0.3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69"/>
      <c r="V697" s="3"/>
      <c r="W697" s="3"/>
      <c r="X697" s="3"/>
      <c r="Y697" s="3"/>
      <c r="Z697" s="3"/>
    </row>
    <row r="698" spans="1:26" ht="26.25" customHeight="1" x14ac:dyDescent="0.3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69"/>
      <c r="V698" s="3"/>
      <c r="W698" s="3"/>
      <c r="X698" s="3"/>
      <c r="Y698" s="3"/>
      <c r="Z698" s="3"/>
    </row>
    <row r="699" spans="1:26" ht="26.25" customHeight="1" x14ac:dyDescent="0.3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69"/>
      <c r="V699" s="3"/>
      <c r="W699" s="3"/>
      <c r="X699" s="3"/>
      <c r="Y699" s="3"/>
      <c r="Z699" s="3"/>
    </row>
    <row r="700" spans="1:26" ht="26.25" customHeight="1" x14ac:dyDescent="0.3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69"/>
      <c r="V700" s="3"/>
      <c r="W700" s="3"/>
      <c r="X700" s="3"/>
      <c r="Y700" s="3"/>
      <c r="Z700" s="3"/>
    </row>
    <row r="701" spans="1:26" ht="26.25" customHeight="1" x14ac:dyDescent="0.3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69"/>
      <c r="V701" s="3"/>
      <c r="W701" s="3"/>
      <c r="X701" s="3"/>
      <c r="Y701" s="3"/>
      <c r="Z701" s="3"/>
    </row>
    <row r="702" spans="1:26" ht="26.25" customHeight="1" x14ac:dyDescent="0.3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69"/>
      <c r="V702" s="3"/>
      <c r="W702" s="3"/>
      <c r="X702" s="3"/>
      <c r="Y702" s="3"/>
      <c r="Z702" s="3"/>
    </row>
    <row r="703" spans="1:26" ht="26.25" customHeight="1" x14ac:dyDescent="0.3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69"/>
      <c r="V703" s="3"/>
      <c r="W703" s="3"/>
      <c r="X703" s="3"/>
      <c r="Y703" s="3"/>
      <c r="Z703" s="3"/>
    </row>
    <row r="704" spans="1:26" ht="26.25" customHeight="1" x14ac:dyDescent="0.3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69"/>
      <c r="V704" s="3"/>
      <c r="W704" s="3"/>
      <c r="X704" s="3"/>
      <c r="Y704" s="3"/>
      <c r="Z704" s="3"/>
    </row>
    <row r="705" spans="1:26" ht="26.25" customHeight="1" x14ac:dyDescent="0.3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69"/>
      <c r="V705" s="3"/>
      <c r="W705" s="3"/>
      <c r="X705" s="3"/>
      <c r="Y705" s="3"/>
      <c r="Z705" s="3"/>
    </row>
    <row r="706" spans="1:26" ht="26.25" customHeight="1" x14ac:dyDescent="0.3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69"/>
      <c r="V706" s="3"/>
      <c r="W706" s="3"/>
      <c r="X706" s="3"/>
      <c r="Y706" s="3"/>
      <c r="Z706" s="3"/>
    </row>
    <row r="707" spans="1:26" ht="26.25" customHeight="1" x14ac:dyDescent="0.3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69"/>
      <c r="V707" s="3"/>
      <c r="W707" s="3"/>
      <c r="X707" s="3"/>
      <c r="Y707" s="3"/>
      <c r="Z707" s="3"/>
    </row>
    <row r="708" spans="1:26" ht="26.25" customHeight="1" x14ac:dyDescent="0.3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69"/>
      <c r="V708" s="3"/>
      <c r="W708" s="3"/>
      <c r="X708" s="3"/>
      <c r="Y708" s="3"/>
      <c r="Z708" s="3"/>
    </row>
    <row r="709" spans="1:26" ht="26.25" customHeight="1" x14ac:dyDescent="0.3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69"/>
      <c r="V709" s="3"/>
      <c r="W709" s="3"/>
      <c r="X709" s="3"/>
      <c r="Y709" s="3"/>
      <c r="Z709" s="3"/>
    </row>
    <row r="710" spans="1:26" ht="26.25" customHeight="1" x14ac:dyDescent="0.3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69"/>
      <c r="V710" s="3"/>
      <c r="W710" s="3"/>
      <c r="X710" s="3"/>
      <c r="Y710" s="3"/>
      <c r="Z710" s="3"/>
    </row>
    <row r="711" spans="1:26" ht="26.25" customHeight="1" x14ac:dyDescent="0.3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69"/>
      <c r="V711" s="3"/>
      <c r="W711" s="3"/>
      <c r="X711" s="3"/>
      <c r="Y711" s="3"/>
      <c r="Z711" s="3"/>
    </row>
    <row r="712" spans="1:26" ht="26.25" customHeight="1" x14ac:dyDescent="0.3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69"/>
      <c r="V712" s="3"/>
      <c r="W712" s="3"/>
      <c r="X712" s="3"/>
      <c r="Y712" s="3"/>
      <c r="Z712" s="3"/>
    </row>
    <row r="713" spans="1:26" ht="26.25" customHeight="1" x14ac:dyDescent="0.3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69"/>
      <c r="V713" s="3"/>
      <c r="W713" s="3"/>
      <c r="X713" s="3"/>
      <c r="Y713" s="3"/>
      <c r="Z713" s="3"/>
    </row>
    <row r="714" spans="1:26" ht="26.25" customHeight="1" x14ac:dyDescent="0.3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69"/>
      <c r="V714" s="3"/>
      <c r="W714" s="3"/>
      <c r="X714" s="3"/>
      <c r="Y714" s="3"/>
      <c r="Z714" s="3"/>
    </row>
    <row r="715" spans="1:26" ht="26.25" customHeight="1" x14ac:dyDescent="0.3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69"/>
      <c r="V715" s="3"/>
      <c r="W715" s="3"/>
      <c r="X715" s="3"/>
      <c r="Y715" s="3"/>
      <c r="Z715" s="3"/>
    </row>
    <row r="716" spans="1:26" ht="26.25" customHeight="1" x14ac:dyDescent="0.3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69"/>
      <c r="V716" s="3"/>
      <c r="W716" s="3"/>
      <c r="X716" s="3"/>
      <c r="Y716" s="3"/>
      <c r="Z716" s="3"/>
    </row>
    <row r="717" spans="1:26" ht="26.25" customHeight="1" x14ac:dyDescent="0.3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69"/>
      <c r="V717" s="3"/>
      <c r="W717" s="3"/>
      <c r="X717" s="3"/>
      <c r="Y717" s="3"/>
      <c r="Z717" s="3"/>
    </row>
    <row r="718" spans="1:26" ht="26.25" customHeight="1" x14ac:dyDescent="0.3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69"/>
      <c r="V718" s="3"/>
      <c r="W718" s="3"/>
      <c r="X718" s="3"/>
      <c r="Y718" s="3"/>
      <c r="Z718" s="3"/>
    </row>
    <row r="719" spans="1:26" ht="26.25" customHeight="1" x14ac:dyDescent="0.3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69"/>
      <c r="V719" s="3"/>
      <c r="W719" s="3"/>
      <c r="X719" s="3"/>
      <c r="Y719" s="3"/>
      <c r="Z719" s="3"/>
    </row>
    <row r="720" spans="1:26" ht="26.25" customHeight="1" x14ac:dyDescent="0.3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69"/>
      <c r="V720" s="3"/>
      <c r="W720" s="3"/>
      <c r="X720" s="3"/>
      <c r="Y720" s="3"/>
      <c r="Z720" s="3"/>
    </row>
    <row r="721" spans="1:26" ht="26.25" customHeight="1" x14ac:dyDescent="0.3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69"/>
      <c r="V721" s="3"/>
      <c r="W721" s="3"/>
      <c r="X721" s="3"/>
      <c r="Y721" s="3"/>
      <c r="Z721" s="3"/>
    </row>
    <row r="722" spans="1:26" ht="26.25" customHeight="1" x14ac:dyDescent="0.3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69"/>
      <c r="V722" s="3"/>
      <c r="W722" s="3"/>
      <c r="X722" s="3"/>
      <c r="Y722" s="3"/>
      <c r="Z722" s="3"/>
    </row>
    <row r="723" spans="1:26" ht="26.25" customHeight="1" x14ac:dyDescent="0.3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69"/>
      <c r="V723" s="3"/>
      <c r="W723" s="3"/>
      <c r="X723" s="3"/>
      <c r="Y723" s="3"/>
      <c r="Z723" s="3"/>
    </row>
    <row r="724" spans="1:26" ht="26.25" customHeight="1" x14ac:dyDescent="0.3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69"/>
      <c r="V724" s="3"/>
      <c r="W724" s="3"/>
      <c r="X724" s="3"/>
      <c r="Y724" s="3"/>
      <c r="Z724" s="3"/>
    </row>
    <row r="725" spans="1:26" ht="26.25" customHeight="1" x14ac:dyDescent="0.3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69"/>
      <c r="V725" s="3"/>
      <c r="W725" s="3"/>
      <c r="X725" s="3"/>
      <c r="Y725" s="3"/>
      <c r="Z725" s="3"/>
    </row>
    <row r="726" spans="1:26" ht="26.25" customHeight="1" x14ac:dyDescent="0.3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69"/>
      <c r="V726" s="3"/>
      <c r="W726" s="3"/>
      <c r="X726" s="3"/>
      <c r="Y726" s="3"/>
      <c r="Z726" s="3"/>
    </row>
    <row r="727" spans="1:26" ht="26.25" customHeight="1" x14ac:dyDescent="0.3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69"/>
      <c r="V727" s="3"/>
      <c r="W727" s="3"/>
      <c r="X727" s="3"/>
      <c r="Y727" s="3"/>
      <c r="Z727" s="3"/>
    </row>
    <row r="728" spans="1:26" ht="26.25" customHeight="1" x14ac:dyDescent="0.3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69"/>
      <c r="V728" s="3"/>
      <c r="W728" s="3"/>
      <c r="X728" s="3"/>
      <c r="Y728" s="3"/>
      <c r="Z728" s="3"/>
    </row>
    <row r="729" spans="1:26" ht="26.25" customHeight="1" x14ac:dyDescent="0.3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69"/>
      <c r="V729" s="3"/>
      <c r="W729" s="3"/>
      <c r="X729" s="3"/>
      <c r="Y729" s="3"/>
      <c r="Z729" s="3"/>
    </row>
    <row r="730" spans="1:26" ht="26.25" customHeight="1" x14ac:dyDescent="0.3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69"/>
      <c r="V730" s="3"/>
      <c r="W730" s="3"/>
      <c r="X730" s="3"/>
      <c r="Y730" s="3"/>
      <c r="Z730" s="3"/>
    </row>
    <row r="731" spans="1:26" ht="26.25" customHeight="1" x14ac:dyDescent="0.3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69"/>
      <c r="V731" s="3"/>
      <c r="W731" s="3"/>
      <c r="X731" s="3"/>
      <c r="Y731" s="3"/>
      <c r="Z731" s="3"/>
    </row>
    <row r="732" spans="1:26" ht="26.25" customHeight="1" x14ac:dyDescent="0.3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69"/>
      <c r="V732" s="3"/>
      <c r="W732" s="3"/>
      <c r="X732" s="3"/>
      <c r="Y732" s="3"/>
      <c r="Z732" s="3"/>
    </row>
    <row r="733" spans="1:26" ht="26.25" customHeight="1" x14ac:dyDescent="0.3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69"/>
      <c r="V733" s="3"/>
      <c r="W733" s="3"/>
      <c r="X733" s="3"/>
      <c r="Y733" s="3"/>
      <c r="Z733" s="3"/>
    </row>
    <row r="734" spans="1:26" ht="26.25" customHeight="1" x14ac:dyDescent="0.3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69"/>
      <c r="V734" s="3"/>
      <c r="W734" s="3"/>
      <c r="X734" s="3"/>
      <c r="Y734" s="3"/>
      <c r="Z734" s="3"/>
    </row>
    <row r="735" spans="1:26" ht="26.25" customHeight="1" x14ac:dyDescent="0.3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69"/>
      <c r="V735" s="3"/>
      <c r="W735" s="3"/>
      <c r="X735" s="3"/>
      <c r="Y735" s="3"/>
      <c r="Z735" s="3"/>
    </row>
    <row r="736" spans="1:26" ht="26.25" customHeight="1" x14ac:dyDescent="0.3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69"/>
      <c r="V736" s="3"/>
      <c r="W736" s="3"/>
      <c r="X736" s="3"/>
      <c r="Y736" s="3"/>
      <c r="Z736" s="3"/>
    </row>
    <row r="737" spans="1:26" ht="26.25" customHeight="1" x14ac:dyDescent="0.3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69"/>
      <c r="V737" s="3"/>
      <c r="W737" s="3"/>
      <c r="X737" s="3"/>
      <c r="Y737" s="3"/>
      <c r="Z737" s="3"/>
    </row>
    <row r="738" spans="1:26" ht="26.25" customHeight="1" x14ac:dyDescent="0.3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69"/>
      <c r="V738" s="3"/>
      <c r="W738" s="3"/>
      <c r="X738" s="3"/>
      <c r="Y738" s="3"/>
      <c r="Z738" s="3"/>
    </row>
    <row r="739" spans="1:26" ht="26.25" customHeight="1" x14ac:dyDescent="0.3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69"/>
      <c r="V739" s="3"/>
      <c r="W739" s="3"/>
      <c r="X739" s="3"/>
      <c r="Y739" s="3"/>
      <c r="Z739" s="3"/>
    </row>
    <row r="740" spans="1:26" ht="26.25" customHeight="1" x14ac:dyDescent="0.3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69"/>
      <c r="V740" s="3"/>
      <c r="W740" s="3"/>
      <c r="X740" s="3"/>
      <c r="Y740" s="3"/>
      <c r="Z740" s="3"/>
    </row>
    <row r="741" spans="1:26" ht="26.25" customHeight="1" x14ac:dyDescent="0.3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69"/>
      <c r="V741" s="3"/>
      <c r="W741" s="3"/>
      <c r="X741" s="3"/>
      <c r="Y741" s="3"/>
      <c r="Z741" s="3"/>
    </row>
    <row r="742" spans="1:26" ht="26.25" customHeight="1" x14ac:dyDescent="0.3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69"/>
      <c r="V742" s="3"/>
      <c r="W742" s="3"/>
      <c r="X742" s="3"/>
      <c r="Y742" s="3"/>
      <c r="Z742" s="3"/>
    </row>
    <row r="743" spans="1:26" ht="26.25" customHeight="1" x14ac:dyDescent="0.3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69"/>
      <c r="V743" s="3"/>
      <c r="W743" s="3"/>
      <c r="X743" s="3"/>
      <c r="Y743" s="3"/>
      <c r="Z743" s="3"/>
    </row>
    <row r="744" spans="1:26" ht="26.25" customHeight="1" x14ac:dyDescent="0.3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69"/>
      <c r="V744" s="3"/>
      <c r="W744" s="3"/>
      <c r="X744" s="3"/>
      <c r="Y744" s="3"/>
      <c r="Z744" s="3"/>
    </row>
    <row r="745" spans="1:26" ht="26.25" customHeight="1" x14ac:dyDescent="0.3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69"/>
      <c r="V745" s="3"/>
      <c r="W745" s="3"/>
      <c r="X745" s="3"/>
      <c r="Y745" s="3"/>
      <c r="Z745" s="3"/>
    </row>
    <row r="746" spans="1:26" ht="26.25" customHeight="1" x14ac:dyDescent="0.3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69"/>
      <c r="V746" s="3"/>
      <c r="W746" s="3"/>
      <c r="X746" s="3"/>
      <c r="Y746" s="3"/>
      <c r="Z746" s="3"/>
    </row>
    <row r="747" spans="1:26" ht="26.25" customHeight="1" x14ac:dyDescent="0.3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69"/>
      <c r="V747" s="3"/>
      <c r="W747" s="3"/>
      <c r="X747" s="3"/>
      <c r="Y747" s="3"/>
      <c r="Z747" s="3"/>
    </row>
    <row r="748" spans="1:26" ht="26.25" customHeight="1" x14ac:dyDescent="0.3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69"/>
      <c r="V748" s="3"/>
      <c r="W748" s="3"/>
      <c r="X748" s="3"/>
      <c r="Y748" s="3"/>
      <c r="Z748" s="3"/>
    </row>
    <row r="749" spans="1:26" ht="26.25" customHeight="1" x14ac:dyDescent="0.3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69"/>
      <c r="V749" s="3"/>
      <c r="W749" s="3"/>
      <c r="X749" s="3"/>
      <c r="Y749" s="3"/>
      <c r="Z749" s="3"/>
    </row>
    <row r="750" spans="1:26" ht="26.25" customHeight="1" x14ac:dyDescent="0.3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69"/>
      <c r="V750" s="3"/>
      <c r="W750" s="3"/>
      <c r="X750" s="3"/>
      <c r="Y750" s="3"/>
      <c r="Z750" s="3"/>
    </row>
    <row r="751" spans="1:26" ht="26.25" customHeight="1" x14ac:dyDescent="0.3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69"/>
      <c r="V751" s="3"/>
      <c r="W751" s="3"/>
      <c r="X751" s="3"/>
      <c r="Y751" s="3"/>
      <c r="Z751" s="3"/>
    </row>
    <row r="752" spans="1:26" ht="26.25" customHeight="1" x14ac:dyDescent="0.3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69"/>
      <c r="V752" s="3"/>
      <c r="W752" s="3"/>
      <c r="X752" s="3"/>
      <c r="Y752" s="3"/>
      <c r="Z752" s="3"/>
    </row>
    <row r="753" spans="1:26" ht="26.25" customHeight="1" x14ac:dyDescent="0.3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69"/>
      <c r="V753" s="3"/>
      <c r="W753" s="3"/>
      <c r="X753" s="3"/>
      <c r="Y753" s="3"/>
      <c r="Z753" s="3"/>
    </row>
    <row r="754" spans="1:26" ht="26.25" customHeight="1" x14ac:dyDescent="0.3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69"/>
      <c r="V754" s="3"/>
      <c r="W754" s="3"/>
      <c r="X754" s="3"/>
      <c r="Y754" s="3"/>
      <c r="Z754" s="3"/>
    </row>
    <row r="755" spans="1:26" ht="26.25" customHeight="1" x14ac:dyDescent="0.3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69"/>
      <c r="V755" s="3"/>
      <c r="W755" s="3"/>
      <c r="X755" s="3"/>
      <c r="Y755" s="3"/>
      <c r="Z755" s="3"/>
    </row>
    <row r="756" spans="1:26" ht="26.25" customHeight="1" x14ac:dyDescent="0.3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69"/>
      <c r="V756" s="3"/>
      <c r="W756" s="3"/>
      <c r="X756" s="3"/>
      <c r="Y756" s="3"/>
      <c r="Z756" s="3"/>
    </row>
    <row r="757" spans="1:26" ht="26.25" customHeight="1" x14ac:dyDescent="0.3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69"/>
      <c r="V757" s="3"/>
      <c r="W757" s="3"/>
      <c r="X757" s="3"/>
      <c r="Y757" s="3"/>
      <c r="Z757" s="3"/>
    </row>
    <row r="758" spans="1:26" ht="26.25" customHeight="1" x14ac:dyDescent="0.3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69"/>
      <c r="V758" s="3"/>
      <c r="W758" s="3"/>
      <c r="X758" s="3"/>
      <c r="Y758" s="3"/>
      <c r="Z758" s="3"/>
    </row>
    <row r="759" spans="1:26" ht="26.25" customHeight="1" x14ac:dyDescent="0.3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69"/>
      <c r="V759" s="3"/>
      <c r="W759" s="3"/>
      <c r="X759" s="3"/>
      <c r="Y759" s="3"/>
      <c r="Z759" s="3"/>
    </row>
    <row r="760" spans="1:26" ht="26.25" customHeight="1" x14ac:dyDescent="0.3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69"/>
      <c r="V760" s="3"/>
      <c r="W760" s="3"/>
      <c r="X760" s="3"/>
      <c r="Y760" s="3"/>
      <c r="Z760" s="3"/>
    </row>
    <row r="761" spans="1:26" ht="26.25" customHeight="1" x14ac:dyDescent="0.3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69"/>
      <c r="V761" s="3"/>
      <c r="W761" s="3"/>
      <c r="X761" s="3"/>
      <c r="Y761" s="3"/>
      <c r="Z761" s="3"/>
    </row>
    <row r="762" spans="1:26" ht="26.25" customHeight="1" x14ac:dyDescent="0.3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69"/>
      <c r="V762" s="3"/>
      <c r="W762" s="3"/>
      <c r="X762" s="3"/>
      <c r="Y762" s="3"/>
      <c r="Z762" s="3"/>
    </row>
    <row r="763" spans="1:26" ht="26.25" customHeight="1" x14ac:dyDescent="0.3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69"/>
      <c r="V763" s="3"/>
      <c r="W763" s="3"/>
      <c r="X763" s="3"/>
      <c r="Y763" s="3"/>
      <c r="Z763" s="3"/>
    </row>
    <row r="764" spans="1:26" ht="26.25" customHeight="1" x14ac:dyDescent="0.3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69"/>
      <c r="V764" s="3"/>
      <c r="W764" s="3"/>
      <c r="X764" s="3"/>
      <c r="Y764" s="3"/>
      <c r="Z764" s="3"/>
    </row>
    <row r="765" spans="1:26" ht="26.25" customHeight="1" x14ac:dyDescent="0.3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69"/>
      <c r="V765" s="3"/>
      <c r="W765" s="3"/>
      <c r="X765" s="3"/>
      <c r="Y765" s="3"/>
      <c r="Z765" s="3"/>
    </row>
    <row r="766" spans="1:26" ht="26.25" customHeight="1" x14ac:dyDescent="0.3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69"/>
      <c r="V766" s="3"/>
      <c r="W766" s="3"/>
      <c r="X766" s="3"/>
      <c r="Y766" s="3"/>
      <c r="Z766" s="3"/>
    </row>
    <row r="767" spans="1:26" ht="26.25" customHeight="1" x14ac:dyDescent="0.3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69"/>
      <c r="V767" s="3"/>
      <c r="W767" s="3"/>
      <c r="X767" s="3"/>
      <c r="Y767" s="3"/>
      <c r="Z767" s="3"/>
    </row>
    <row r="768" spans="1:26" ht="26.25" customHeight="1" x14ac:dyDescent="0.3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69"/>
      <c r="V768" s="3"/>
      <c r="W768" s="3"/>
      <c r="X768" s="3"/>
      <c r="Y768" s="3"/>
      <c r="Z768" s="3"/>
    </row>
    <row r="769" spans="1:26" ht="26.25" customHeight="1" x14ac:dyDescent="0.3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69"/>
      <c r="V769" s="3"/>
      <c r="W769" s="3"/>
      <c r="X769" s="3"/>
      <c r="Y769" s="3"/>
      <c r="Z769" s="3"/>
    </row>
    <row r="770" spans="1:26" ht="26.25" customHeight="1" x14ac:dyDescent="0.3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69"/>
      <c r="V770" s="3"/>
      <c r="W770" s="3"/>
      <c r="X770" s="3"/>
      <c r="Y770" s="3"/>
      <c r="Z770" s="3"/>
    </row>
    <row r="771" spans="1:26" ht="26.25" customHeight="1" x14ac:dyDescent="0.3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69"/>
      <c r="V771" s="3"/>
      <c r="W771" s="3"/>
      <c r="X771" s="3"/>
      <c r="Y771" s="3"/>
      <c r="Z771" s="3"/>
    </row>
    <row r="772" spans="1:26" ht="26.25" customHeight="1" x14ac:dyDescent="0.3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69"/>
      <c r="V772" s="3"/>
      <c r="W772" s="3"/>
      <c r="X772" s="3"/>
      <c r="Y772" s="3"/>
      <c r="Z772" s="3"/>
    </row>
    <row r="773" spans="1:26" ht="26.25" customHeight="1" x14ac:dyDescent="0.3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69"/>
      <c r="V773" s="3"/>
      <c r="W773" s="3"/>
      <c r="X773" s="3"/>
      <c r="Y773" s="3"/>
      <c r="Z773" s="3"/>
    </row>
    <row r="774" spans="1:26" ht="26.25" customHeight="1" x14ac:dyDescent="0.3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69"/>
      <c r="V774" s="3"/>
      <c r="W774" s="3"/>
      <c r="X774" s="3"/>
      <c r="Y774" s="3"/>
      <c r="Z774" s="3"/>
    </row>
    <row r="775" spans="1:26" ht="26.25" customHeight="1" x14ac:dyDescent="0.3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69"/>
      <c r="V775" s="3"/>
      <c r="W775" s="3"/>
      <c r="X775" s="3"/>
      <c r="Y775" s="3"/>
      <c r="Z775" s="3"/>
    </row>
    <row r="776" spans="1:26" ht="26.25" customHeight="1" x14ac:dyDescent="0.3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69"/>
      <c r="V776" s="3"/>
      <c r="W776" s="3"/>
      <c r="X776" s="3"/>
      <c r="Y776" s="3"/>
      <c r="Z776" s="3"/>
    </row>
    <row r="777" spans="1:26" ht="26.25" customHeight="1" x14ac:dyDescent="0.3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69"/>
      <c r="V777" s="3"/>
      <c r="W777" s="3"/>
      <c r="X777" s="3"/>
      <c r="Y777" s="3"/>
      <c r="Z777" s="3"/>
    </row>
    <row r="778" spans="1:26" ht="26.25" customHeight="1" x14ac:dyDescent="0.3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69"/>
      <c r="V778" s="3"/>
      <c r="W778" s="3"/>
      <c r="X778" s="3"/>
      <c r="Y778" s="3"/>
      <c r="Z778" s="3"/>
    </row>
    <row r="779" spans="1:26" ht="26.25" customHeight="1" x14ac:dyDescent="0.3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69"/>
      <c r="V779" s="3"/>
      <c r="W779" s="3"/>
      <c r="X779" s="3"/>
      <c r="Y779" s="3"/>
      <c r="Z779" s="3"/>
    </row>
    <row r="780" spans="1:26" ht="26.25" customHeight="1" x14ac:dyDescent="0.3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69"/>
      <c r="V780" s="3"/>
      <c r="W780" s="3"/>
      <c r="X780" s="3"/>
      <c r="Y780" s="3"/>
      <c r="Z780" s="3"/>
    </row>
    <row r="781" spans="1:26" ht="26.25" customHeight="1" x14ac:dyDescent="0.3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69"/>
      <c r="V781" s="3"/>
      <c r="W781" s="3"/>
      <c r="X781" s="3"/>
      <c r="Y781" s="3"/>
      <c r="Z781" s="3"/>
    </row>
    <row r="782" spans="1:26" ht="26.25" customHeight="1" x14ac:dyDescent="0.3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69"/>
      <c r="V782" s="3"/>
      <c r="W782" s="3"/>
      <c r="X782" s="3"/>
      <c r="Y782" s="3"/>
      <c r="Z782" s="3"/>
    </row>
    <row r="783" spans="1:26" ht="26.25" customHeight="1" x14ac:dyDescent="0.3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69"/>
      <c r="V783" s="3"/>
      <c r="W783" s="3"/>
      <c r="X783" s="3"/>
      <c r="Y783" s="3"/>
      <c r="Z783" s="3"/>
    </row>
    <row r="784" spans="1:26" ht="26.25" customHeight="1" x14ac:dyDescent="0.3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69"/>
      <c r="V784" s="3"/>
      <c r="W784" s="3"/>
      <c r="X784" s="3"/>
      <c r="Y784" s="3"/>
      <c r="Z784" s="3"/>
    </row>
    <row r="785" spans="1:26" ht="26.25" customHeight="1" x14ac:dyDescent="0.3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69"/>
      <c r="V785" s="3"/>
      <c r="W785" s="3"/>
      <c r="X785" s="3"/>
      <c r="Y785" s="3"/>
      <c r="Z785" s="3"/>
    </row>
    <row r="786" spans="1:26" ht="26.25" customHeight="1" x14ac:dyDescent="0.3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69"/>
      <c r="V786" s="3"/>
      <c r="W786" s="3"/>
      <c r="X786" s="3"/>
      <c r="Y786" s="3"/>
      <c r="Z786" s="3"/>
    </row>
    <row r="787" spans="1:26" ht="26.25" customHeight="1" x14ac:dyDescent="0.3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69"/>
      <c r="V787" s="3"/>
      <c r="W787" s="3"/>
      <c r="X787" s="3"/>
      <c r="Y787" s="3"/>
      <c r="Z787" s="3"/>
    </row>
    <row r="788" spans="1:26" ht="26.25" customHeight="1" x14ac:dyDescent="0.3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69"/>
      <c r="V788" s="3"/>
      <c r="W788" s="3"/>
      <c r="X788" s="3"/>
      <c r="Y788" s="3"/>
      <c r="Z788" s="3"/>
    </row>
    <row r="789" spans="1:26" ht="26.25" customHeight="1" x14ac:dyDescent="0.3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69"/>
      <c r="V789" s="3"/>
      <c r="W789" s="3"/>
      <c r="X789" s="3"/>
      <c r="Y789" s="3"/>
      <c r="Z789" s="3"/>
    </row>
    <row r="790" spans="1:26" ht="26.25" customHeight="1" x14ac:dyDescent="0.3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69"/>
      <c r="V790" s="3"/>
      <c r="W790" s="3"/>
      <c r="X790" s="3"/>
      <c r="Y790" s="3"/>
      <c r="Z790" s="3"/>
    </row>
    <row r="791" spans="1:26" ht="26.25" customHeight="1" x14ac:dyDescent="0.3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69"/>
      <c r="V791" s="3"/>
      <c r="W791" s="3"/>
      <c r="X791" s="3"/>
      <c r="Y791" s="3"/>
      <c r="Z791" s="3"/>
    </row>
    <row r="792" spans="1:26" ht="26.25" customHeight="1" x14ac:dyDescent="0.3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69"/>
      <c r="V792" s="3"/>
      <c r="W792" s="3"/>
      <c r="X792" s="3"/>
      <c r="Y792" s="3"/>
      <c r="Z792" s="3"/>
    </row>
    <row r="793" spans="1:26" ht="26.25" customHeight="1" x14ac:dyDescent="0.3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69"/>
      <c r="V793" s="3"/>
      <c r="W793" s="3"/>
      <c r="X793" s="3"/>
      <c r="Y793" s="3"/>
      <c r="Z793" s="3"/>
    </row>
    <row r="794" spans="1:26" ht="26.25" customHeight="1" x14ac:dyDescent="0.3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69"/>
      <c r="V794" s="3"/>
      <c r="W794" s="3"/>
      <c r="X794" s="3"/>
      <c r="Y794" s="3"/>
      <c r="Z794" s="3"/>
    </row>
    <row r="795" spans="1:26" ht="26.25" customHeight="1" x14ac:dyDescent="0.3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69"/>
      <c r="V795" s="3"/>
      <c r="W795" s="3"/>
      <c r="X795" s="3"/>
      <c r="Y795" s="3"/>
      <c r="Z795" s="3"/>
    </row>
    <row r="796" spans="1:26" ht="26.25" customHeight="1" x14ac:dyDescent="0.3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69"/>
      <c r="V796" s="3"/>
      <c r="W796" s="3"/>
      <c r="X796" s="3"/>
      <c r="Y796" s="3"/>
      <c r="Z796" s="3"/>
    </row>
    <row r="797" spans="1:26" ht="26.25" customHeight="1" x14ac:dyDescent="0.3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69"/>
      <c r="V797" s="3"/>
      <c r="W797" s="3"/>
      <c r="X797" s="3"/>
      <c r="Y797" s="3"/>
      <c r="Z797" s="3"/>
    </row>
    <row r="798" spans="1:26" ht="26.25" customHeight="1" x14ac:dyDescent="0.3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69"/>
      <c r="V798" s="3"/>
      <c r="W798" s="3"/>
      <c r="X798" s="3"/>
      <c r="Y798" s="3"/>
      <c r="Z798" s="3"/>
    </row>
    <row r="799" spans="1:26" ht="26.25" customHeight="1" x14ac:dyDescent="0.3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69"/>
      <c r="V799" s="3"/>
      <c r="W799" s="3"/>
      <c r="X799" s="3"/>
      <c r="Y799" s="3"/>
      <c r="Z799" s="3"/>
    </row>
    <row r="800" spans="1:26" ht="26.25" customHeight="1" x14ac:dyDescent="0.3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69"/>
      <c r="V800" s="3"/>
      <c r="W800" s="3"/>
      <c r="X800" s="3"/>
      <c r="Y800" s="3"/>
      <c r="Z800" s="3"/>
    </row>
    <row r="801" spans="1:26" ht="26.25" customHeight="1" x14ac:dyDescent="0.3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69"/>
      <c r="V801" s="3"/>
      <c r="W801" s="3"/>
      <c r="X801" s="3"/>
      <c r="Y801" s="3"/>
      <c r="Z801" s="3"/>
    </row>
    <row r="802" spans="1:26" ht="26.25" customHeight="1" x14ac:dyDescent="0.3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69"/>
      <c r="V802" s="3"/>
      <c r="W802" s="3"/>
      <c r="X802" s="3"/>
      <c r="Y802" s="3"/>
      <c r="Z802" s="3"/>
    </row>
    <row r="803" spans="1:26" ht="26.25" customHeight="1" x14ac:dyDescent="0.3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69"/>
      <c r="V803" s="3"/>
      <c r="W803" s="3"/>
      <c r="X803" s="3"/>
      <c r="Y803" s="3"/>
      <c r="Z803" s="3"/>
    </row>
    <row r="804" spans="1:26" ht="26.25" customHeight="1" x14ac:dyDescent="0.3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69"/>
      <c r="V804" s="3"/>
      <c r="W804" s="3"/>
      <c r="X804" s="3"/>
      <c r="Y804" s="3"/>
      <c r="Z804" s="3"/>
    </row>
    <row r="805" spans="1:26" ht="26.25" customHeight="1" x14ac:dyDescent="0.3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69"/>
      <c r="V805" s="3"/>
      <c r="W805" s="3"/>
      <c r="X805" s="3"/>
      <c r="Y805" s="3"/>
      <c r="Z805" s="3"/>
    </row>
    <row r="806" spans="1:26" ht="26.25" customHeight="1" x14ac:dyDescent="0.3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69"/>
      <c r="V806" s="3"/>
      <c r="W806" s="3"/>
      <c r="X806" s="3"/>
      <c r="Y806" s="3"/>
      <c r="Z806" s="3"/>
    </row>
    <row r="807" spans="1:26" ht="26.25" customHeight="1" x14ac:dyDescent="0.3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69"/>
      <c r="V807" s="3"/>
      <c r="W807" s="3"/>
      <c r="X807" s="3"/>
      <c r="Y807" s="3"/>
      <c r="Z807" s="3"/>
    </row>
    <row r="808" spans="1:26" ht="26.25" customHeight="1" x14ac:dyDescent="0.3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69"/>
      <c r="V808" s="3"/>
      <c r="W808" s="3"/>
      <c r="X808" s="3"/>
      <c r="Y808" s="3"/>
      <c r="Z808" s="3"/>
    </row>
    <row r="809" spans="1:26" ht="26.25" customHeight="1" x14ac:dyDescent="0.3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69"/>
      <c r="V809" s="3"/>
      <c r="W809" s="3"/>
      <c r="X809" s="3"/>
      <c r="Y809" s="3"/>
      <c r="Z809" s="3"/>
    </row>
    <row r="810" spans="1:26" ht="26.25" customHeight="1" x14ac:dyDescent="0.3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69"/>
      <c r="V810" s="3"/>
      <c r="W810" s="3"/>
      <c r="X810" s="3"/>
      <c r="Y810" s="3"/>
      <c r="Z810" s="3"/>
    </row>
    <row r="811" spans="1:26" ht="26.25" customHeight="1" x14ac:dyDescent="0.3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69"/>
      <c r="V811" s="3"/>
      <c r="W811" s="3"/>
      <c r="X811" s="3"/>
      <c r="Y811" s="3"/>
      <c r="Z811" s="3"/>
    </row>
    <row r="812" spans="1:26" ht="26.25" customHeight="1" x14ac:dyDescent="0.3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69"/>
      <c r="V812" s="3"/>
      <c r="W812" s="3"/>
      <c r="X812" s="3"/>
      <c r="Y812" s="3"/>
      <c r="Z812" s="3"/>
    </row>
    <row r="813" spans="1:26" ht="26.25" customHeight="1" x14ac:dyDescent="0.3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69"/>
      <c r="V813" s="3"/>
      <c r="W813" s="3"/>
      <c r="X813" s="3"/>
      <c r="Y813" s="3"/>
      <c r="Z813" s="3"/>
    </row>
    <row r="814" spans="1:26" ht="26.25" customHeight="1" x14ac:dyDescent="0.3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69"/>
      <c r="V814" s="3"/>
      <c r="W814" s="3"/>
      <c r="X814" s="3"/>
      <c r="Y814" s="3"/>
      <c r="Z814" s="3"/>
    </row>
    <row r="815" spans="1:26" ht="26.25" customHeight="1" x14ac:dyDescent="0.3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69"/>
      <c r="V815" s="3"/>
      <c r="W815" s="3"/>
      <c r="X815" s="3"/>
      <c r="Y815" s="3"/>
      <c r="Z815" s="3"/>
    </row>
    <row r="816" spans="1:26" ht="26.25" customHeight="1" x14ac:dyDescent="0.3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69"/>
      <c r="V816" s="3"/>
      <c r="W816" s="3"/>
      <c r="X816" s="3"/>
      <c r="Y816" s="3"/>
      <c r="Z816" s="3"/>
    </row>
    <row r="817" spans="1:26" ht="26.25" customHeight="1" x14ac:dyDescent="0.3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69"/>
      <c r="V817" s="3"/>
      <c r="W817" s="3"/>
      <c r="X817" s="3"/>
      <c r="Y817" s="3"/>
      <c r="Z817" s="3"/>
    </row>
    <row r="818" spans="1:26" ht="26.25" customHeight="1" x14ac:dyDescent="0.3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69"/>
      <c r="V818" s="3"/>
      <c r="W818" s="3"/>
      <c r="X818" s="3"/>
      <c r="Y818" s="3"/>
      <c r="Z818" s="3"/>
    </row>
    <row r="819" spans="1:26" ht="26.25" customHeight="1" x14ac:dyDescent="0.3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69"/>
      <c r="V819" s="3"/>
      <c r="W819" s="3"/>
      <c r="X819" s="3"/>
      <c r="Y819" s="3"/>
      <c r="Z819" s="3"/>
    </row>
    <row r="820" spans="1:26" ht="26.25" customHeight="1" x14ac:dyDescent="0.3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69"/>
      <c r="V820" s="3"/>
      <c r="W820" s="3"/>
      <c r="X820" s="3"/>
      <c r="Y820" s="3"/>
      <c r="Z820" s="3"/>
    </row>
    <row r="821" spans="1:26" ht="26.25" customHeight="1" x14ac:dyDescent="0.3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69"/>
      <c r="V821" s="3"/>
      <c r="W821" s="3"/>
      <c r="X821" s="3"/>
      <c r="Y821" s="3"/>
      <c r="Z821" s="3"/>
    </row>
    <row r="822" spans="1:26" ht="26.25" customHeight="1" x14ac:dyDescent="0.3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69"/>
      <c r="V822" s="3"/>
      <c r="W822" s="3"/>
      <c r="X822" s="3"/>
      <c r="Y822" s="3"/>
      <c r="Z822" s="3"/>
    </row>
    <row r="823" spans="1:26" ht="26.25" customHeight="1" x14ac:dyDescent="0.3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69"/>
      <c r="V823" s="3"/>
      <c r="W823" s="3"/>
      <c r="X823" s="3"/>
      <c r="Y823" s="3"/>
      <c r="Z823" s="3"/>
    </row>
    <row r="824" spans="1:26" ht="26.25" customHeight="1" x14ac:dyDescent="0.3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69"/>
      <c r="V824" s="3"/>
      <c r="W824" s="3"/>
      <c r="X824" s="3"/>
      <c r="Y824" s="3"/>
      <c r="Z824" s="3"/>
    </row>
    <row r="825" spans="1:26" ht="26.25" customHeight="1" x14ac:dyDescent="0.3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69"/>
      <c r="V825" s="3"/>
      <c r="W825" s="3"/>
      <c r="X825" s="3"/>
      <c r="Y825" s="3"/>
      <c r="Z825" s="3"/>
    </row>
    <row r="826" spans="1:26" ht="26.25" customHeight="1" x14ac:dyDescent="0.3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69"/>
      <c r="V826" s="3"/>
      <c r="W826" s="3"/>
      <c r="X826" s="3"/>
      <c r="Y826" s="3"/>
      <c r="Z826" s="3"/>
    </row>
    <row r="827" spans="1:26" ht="26.25" customHeight="1" x14ac:dyDescent="0.3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69"/>
      <c r="V827" s="3"/>
      <c r="W827" s="3"/>
      <c r="X827" s="3"/>
      <c r="Y827" s="3"/>
      <c r="Z827" s="3"/>
    </row>
    <row r="828" spans="1:26" ht="26.25" customHeight="1" x14ac:dyDescent="0.3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69"/>
      <c r="V828" s="3"/>
      <c r="W828" s="3"/>
      <c r="X828" s="3"/>
      <c r="Y828" s="3"/>
      <c r="Z828" s="3"/>
    </row>
    <row r="829" spans="1:26" ht="26.25" customHeight="1" x14ac:dyDescent="0.3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69"/>
      <c r="V829" s="3"/>
      <c r="W829" s="3"/>
      <c r="X829" s="3"/>
      <c r="Y829" s="3"/>
      <c r="Z829" s="3"/>
    </row>
    <row r="830" spans="1:26" ht="26.25" customHeight="1" x14ac:dyDescent="0.3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69"/>
      <c r="V830" s="3"/>
      <c r="W830" s="3"/>
      <c r="X830" s="3"/>
      <c r="Y830" s="3"/>
      <c r="Z830" s="3"/>
    </row>
    <row r="831" spans="1:26" ht="26.25" customHeight="1" x14ac:dyDescent="0.3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69"/>
      <c r="V831" s="3"/>
      <c r="W831" s="3"/>
      <c r="X831" s="3"/>
      <c r="Y831" s="3"/>
      <c r="Z831" s="3"/>
    </row>
    <row r="832" spans="1:26" ht="26.25" customHeight="1" x14ac:dyDescent="0.3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69"/>
      <c r="V832" s="3"/>
      <c r="W832" s="3"/>
      <c r="X832" s="3"/>
      <c r="Y832" s="3"/>
      <c r="Z832" s="3"/>
    </row>
    <row r="833" spans="1:26" ht="26.25" customHeight="1" x14ac:dyDescent="0.3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69"/>
      <c r="V833" s="3"/>
      <c r="W833" s="3"/>
      <c r="X833" s="3"/>
      <c r="Y833" s="3"/>
      <c r="Z833" s="3"/>
    </row>
    <row r="834" spans="1:26" ht="26.25" customHeight="1" x14ac:dyDescent="0.3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69"/>
      <c r="V834" s="3"/>
      <c r="W834" s="3"/>
      <c r="X834" s="3"/>
      <c r="Y834" s="3"/>
      <c r="Z834" s="3"/>
    </row>
    <row r="835" spans="1:26" ht="26.25" customHeight="1" x14ac:dyDescent="0.3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69"/>
      <c r="V835" s="3"/>
      <c r="W835" s="3"/>
      <c r="X835" s="3"/>
      <c r="Y835" s="3"/>
      <c r="Z835" s="3"/>
    </row>
    <row r="836" spans="1:26" ht="26.25" customHeight="1" x14ac:dyDescent="0.3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69"/>
      <c r="V836" s="3"/>
      <c r="W836" s="3"/>
      <c r="X836" s="3"/>
      <c r="Y836" s="3"/>
      <c r="Z836" s="3"/>
    </row>
    <row r="837" spans="1:26" ht="26.25" customHeight="1" x14ac:dyDescent="0.3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69"/>
      <c r="V837" s="3"/>
      <c r="W837" s="3"/>
      <c r="X837" s="3"/>
      <c r="Y837" s="3"/>
      <c r="Z837" s="3"/>
    </row>
    <row r="838" spans="1:26" ht="26.25" customHeight="1" x14ac:dyDescent="0.3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69"/>
      <c r="V838" s="3"/>
      <c r="W838" s="3"/>
      <c r="X838" s="3"/>
      <c r="Y838" s="3"/>
      <c r="Z838" s="3"/>
    </row>
    <row r="839" spans="1:26" ht="26.25" customHeight="1" x14ac:dyDescent="0.3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69"/>
      <c r="V839" s="3"/>
      <c r="W839" s="3"/>
      <c r="X839" s="3"/>
      <c r="Y839" s="3"/>
      <c r="Z839" s="3"/>
    </row>
    <row r="840" spans="1:26" ht="26.25" customHeight="1" x14ac:dyDescent="0.3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69"/>
      <c r="V840" s="3"/>
      <c r="W840" s="3"/>
      <c r="X840" s="3"/>
      <c r="Y840" s="3"/>
      <c r="Z840" s="3"/>
    </row>
    <row r="841" spans="1:26" ht="26.25" customHeight="1" x14ac:dyDescent="0.3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69"/>
      <c r="V841" s="3"/>
      <c r="W841" s="3"/>
      <c r="X841" s="3"/>
      <c r="Y841" s="3"/>
      <c r="Z841" s="3"/>
    </row>
    <row r="842" spans="1:26" ht="26.25" customHeight="1" x14ac:dyDescent="0.3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69"/>
      <c r="V842" s="3"/>
      <c r="W842" s="3"/>
      <c r="X842" s="3"/>
      <c r="Y842" s="3"/>
      <c r="Z842" s="3"/>
    </row>
    <row r="843" spans="1:26" ht="26.25" customHeight="1" x14ac:dyDescent="0.3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69"/>
      <c r="V843" s="3"/>
      <c r="W843" s="3"/>
      <c r="X843" s="3"/>
      <c r="Y843" s="3"/>
      <c r="Z843" s="3"/>
    </row>
    <row r="844" spans="1:26" ht="26.25" customHeight="1" x14ac:dyDescent="0.3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69"/>
      <c r="V844" s="3"/>
      <c r="W844" s="3"/>
      <c r="X844" s="3"/>
      <c r="Y844" s="3"/>
      <c r="Z844" s="3"/>
    </row>
    <row r="845" spans="1:26" ht="26.25" customHeight="1" x14ac:dyDescent="0.3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69"/>
      <c r="V845" s="3"/>
      <c r="W845" s="3"/>
      <c r="X845" s="3"/>
      <c r="Y845" s="3"/>
      <c r="Z845" s="3"/>
    </row>
    <row r="846" spans="1:26" ht="26.25" customHeight="1" x14ac:dyDescent="0.3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69"/>
      <c r="V846" s="3"/>
      <c r="W846" s="3"/>
      <c r="X846" s="3"/>
      <c r="Y846" s="3"/>
      <c r="Z846" s="3"/>
    </row>
    <row r="847" spans="1:26" ht="26.25" customHeight="1" x14ac:dyDescent="0.3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69"/>
      <c r="V847" s="3"/>
      <c r="W847" s="3"/>
      <c r="X847" s="3"/>
      <c r="Y847" s="3"/>
      <c r="Z847" s="3"/>
    </row>
    <row r="848" spans="1:26" ht="26.25" customHeight="1" x14ac:dyDescent="0.3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69"/>
      <c r="V848" s="3"/>
      <c r="W848" s="3"/>
      <c r="X848" s="3"/>
      <c r="Y848" s="3"/>
      <c r="Z848" s="3"/>
    </row>
    <row r="849" spans="1:26" ht="26.25" customHeight="1" x14ac:dyDescent="0.3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69"/>
      <c r="V849" s="3"/>
      <c r="W849" s="3"/>
      <c r="X849" s="3"/>
      <c r="Y849" s="3"/>
      <c r="Z849" s="3"/>
    </row>
    <row r="850" spans="1:26" ht="26.25" customHeight="1" x14ac:dyDescent="0.3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69"/>
      <c r="V850" s="3"/>
      <c r="W850" s="3"/>
      <c r="X850" s="3"/>
      <c r="Y850" s="3"/>
      <c r="Z850" s="3"/>
    </row>
    <row r="851" spans="1:26" ht="26.25" customHeight="1" x14ac:dyDescent="0.3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69"/>
      <c r="V851" s="3"/>
      <c r="W851" s="3"/>
      <c r="X851" s="3"/>
      <c r="Y851" s="3"/>
      <c r="Z851" s="3"/>
    </row>
    <row r="852" spans="1:26" ht="26.25" customHeight="1" x14ac:dyDescent="0.3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69"/>
      <c r="V852" s="3"/>
      <c r="W852" s="3"/>
      <c r="X852" s="3"/>
      <c r="Y852" s="3"/>
      <c r="Z852" s="3"/>
    </row>
    <row r="853" spans="1:26" ht="26.25" customHeight="1" x14ac:dyDescent="0.3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69"/>
      <c r="V853" s="3"/>
      <c r="W853" s="3"/>
      <c r="X853" s="3"/>
      <c r="Y853" s="3"/>
      <c r="Z853" s="3"/>
    </row>
    <row r="854" spans="1:26" ht="26.25" customHeight="1" x14ac:dyDescent="0.3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69"/>
      <c r="V854" s="3"/>
      <c r="W854" s="3"/>
      <c r="X854" s="3"/>
      <c r="Y854" s="3"/>
      <c r="Z854" s="3"/>
    </row>
    <row r="855" spans="1:26" ht="26.25" customHeight="1" x14ac:dyDescent="0.3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69"/>
      <c r="V855" s="3"/>
      <c r="W855" s="3"/>
      <c r="X855" s="3"/>
      <c r="Y855" s="3"/>
      <c r="Z855" s="3"/>
    </row>
    <row r="856" spans="1:26" ht="26.25" customHeight="1" x14ac:dyDescent="0.3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69"/>
      <c r="V856" s="3"/>
      <c r="W856" s="3"/>
      <c r="X856" s="3"/>
      <c r="Y856" s="3"/>
      <c r="Z856" s="3"/>
    </row>
    <row r="857" spans="1:26" ht="26.25" customHeight="1" x14ac:dyDescent="0.3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69"/>
      <c r="V857" s="3"/>
      <c r="W857" s="3"/>
      <c r="X857" s="3"/>
      <c r="Y857" s="3"/>
      <c r="Z857" s="3"/>
    </row>
    <row r="858" spans="1:26" ht="26.25" customHeight="1" x14ac:dyDescent="0.3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69"/>
      <c r="V858" s="3"/>
      <c r="W858" s="3"/>
      <c r="X858" s="3"/>
      <c r="Y858" s="3"/>
      <c r="Z858" s="3"/>
    </row>
    <row r="859" spans="1:26" ht="26.25" customHeight="1" x14ac:dyDescent="0.3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69"/>
      <c r="V859" s="3"/>
      <c r="W859" s="3"/>
      <c r="X859" s="3"/>
      <c r="Y859" s="3"/>
      <c r="Z859" s="3"/>
    </row>
    <row r="860" spans="1:26" ht="26.25" customHeight="1" x14ac:dyDescent="0.3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69"/>
      <c r="V860" s="3"/>
      <c r="W860" s="3"/>
      <c r="X860" s="3"/>
      <c r="Y860" s="3"/>
      <c r="Z860" s="3"/>
    </row>
    <row r="861" spans="1:26" ht="26.25" customHeight="1" x14ac:dyDescent="0.3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69"/>
      <c r="V861" s="3"/>
      <c r="W861" s="3"/>
      <c r="X861" s="3"/>
      <c r="Y861" s="3"/>
      <c r="Z861" s="3"/>
    </row>
    <row r="862" spans="1:26" ht="26.25" customHeight="1" x14ac:dyDescent="0.3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69"/>
      <c r="V862" s="3"/>
      <c r="W862" s="3"/>
      <c r="X862" s="3"/>
      <c r="Y862" s="3"/>
      <c r="Z862" s="3"/>
    </row>
    <row r="863" spans="1:26" ht="26.25" customHeight="1" x14ac:dyDescent="0.3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69"/>
      <c r="V863" s="3"/>
      <c r="W863" s="3"/>
      <c r="X863" s="3"/>
      <c r="Y863" s="3"/>
      <c r="Z863" s="3"/>
    </row>
    <row r="864" spans="1:26" ht="26.25" customHeight="1" x14ac:dyDescent="0.3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69"/>
      <c r="V864" s="3"/>
      <c r="W864" s="3"/>
      <c r="X864" s="3"/>
      <c r="Y864" s="3"/>
      <c r="Z864" s="3"/>
    </row>
    <row r="865" spans="1:26" ht="26.25" customHeight="1" x14ac:dyDescent="0.3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69"/>
      <c r="V865" s="3"/>
      <c r="W865" s="3"/>
      <c r="X865" s="3"/>
      <c r="Y865" s="3"/>
      <c r="Z865" s="3"/>
    </row>
    <row r="866" spans="1:26" ht="26.25" customHeight="1" x14ac:dyDescent="0.3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69"/>
      <c r="V866" s="3"/>
      <c r="W866" s="3"/>
      <c r="X866" s="3"/>
      <c r="Y866" s="3"/>
      <c r="Z866" s="3"/>
    </row>
    <row r="867" spans="1:26" ht="26.25" customHeight="1" x14ac:dyDescent="0.3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69"/>
      <c r="V867" s="3"/>
      <c r="W867" s="3"/>
      <c r="X867" s="3"/>
      <c r="Y867" s="3"/>
      <c r="Z867" s="3"/>
    </row>
    <row r="868" spans="1:26" ht="26.25" customHeight="1" x14ac:dyDescent="0.3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69"/>
      <c r="V868" s="3"/>
      <c r="W868" s="3"/>
      <c r="X868" s="3"/>
      <c r="Y868" s="3"/>
      <c r="Z868" s="3"/>
    </row>
    <row r="869" spans="1:26" ht="26.25" customHeight="1" x14ac:dyDescent="0.3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69"/>
      <c r="V869" s="3"/>
      <c r="W869" s="3"/>
      <c r="X869" s="3"/>
      <c r="Y869" s="3"/>
      <c r="Z869" s="3"/>
    </row>
    <row r="870" spans="1:26" ht="26.25" customHeight="1" x14ac:dyDescent="0.3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69"/>
      <c r="V870" s="3"/>
      <c r="W870" s="3"/>
      <c r="X870" s="3"/>
      <c r="Y870" s="3"/>
      <c r="Z870" s="3"/>
    </row>
    <row r="871" spans="1:26" ht="26.25" customHeight="1" x14ac:dyDescent="0.3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69"/>
      <c r="V871" s="3"/>
      <c r="W871" s="3"/>
      <c r="X871" s="3"/>
      <c r="Y871" s="3"/>
      <c r="Z871" s="3"/>
    </row>
    <row r="872" spans="1:26" ht="26.25" customHeight="1" x14ac:dyDescent="0.3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69"/>
      <c r="V872" s="3"/>
      <c r="W872" s="3"/>
      <c r="X872" s="3"/>
      <c r="Y872" s="3"/>
      <c r="Z872" s="3"/>
    </row>
    <row r="873" spans="1:26" ht="26.25" customHeight="1" x14ac:dyDescent="0.3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69"/>
      <c r="V873" s="3"/>
      <c r="W873" s="3"/>
      <c r="X873" s="3"/>
      <c r="Y873" s="3"/>
      <c r="Z873" s="3"/>
    </row>
    <row r="874" spans="1:26" ht="26.25" customHeight="1" x14ac:dyDescent="0.3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69"/>
      <c r="V874" s="3"/>
      <c r="W874" s="3"/>
      <c r="X874" s="3"/>
      <c r="Y874" s="3"/>
      <c r="Z874" s="3"/>
    </row>
    <row r="875" spans="1:26" ht="26.25" customHeight="1" x14ac:dyDescent="0.3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69"/>
      <c r="V875" s="3"/>
      <c r="W875" s="3"/>
      <c r="X875" s="3"/>
      <c r="Y875" s="3"/>
      <c r="Z875" s="3"/>
    </row>
    <row r="876" spans="1:26" ht="26.25" customHeight="1" x14ac:dyDescent="0.3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69"/>
      <c r="V876" s="3"/>
      <c r="W876" s="3"/>
      <c r="X876" s="3"/>
      <c r="Y876" s="3"/>
      <c r="Z876" s="3"/>
    </row>
    <row r="877" spans="1:26" ht="26.25" customHeight="1" x14ac:dyDescent="0.3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69"/>
      <c r="V877" s="3"/>
      <c r="W877" s="3"/>
      <c r="X877" s="3"/>
      <c r="Y877" s="3"/>
      <c r="Z877" s="3"/>
    </row>
    <row r="878" spans="1:26" ht="26.25" customHeight="1" x14ac:dyDescent="0.3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69"/>
      <c r="V878" s="3"/>
      <c r="W878" s="3"/>
      <c r="X878" s="3"/>
      <c r="Y878" s="3"/>
      <c r="Z878" s="3"/>
    </row>
    <row r="879" spans="1:26" ht="26.25" customHeight="1" x14ac:dyDescent="0.3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69"/>
      <c r="V879" s="3"/>
      <c r="W879" s="3"/>
      <c r="X879" s="3"/>
      <c r="Y879" s="3"/>
      <c r="Z879" s="3"/>
    </row>
    <row r="880" spans="1:26" ht="26.25" customHeight="1" x14ac:dyDescent="0.3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69"/>
      <c r="V880" s="3"/>
      <c r="W880" s="3"/>
      <c r="X880" s="3"/>
      <c r="Y880" s="3"/>
      <c r="Z880" s="3"/>
    </row>
    <row r="881" spans="1:26" ht="26.25" customHeight="1" x14ac:dyDescent="0.3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69"/>
      <c r="V881" s="3"/>
      <c r="W881" s="3"/>
      <c r="X881" s="3"/>
      <c r="Y881" s="3"/>
      <c r="Z881" s="3"/>
    </row>
    <row r="882" spans="1:26" ht="26.25" customHeight="1" x14ac:dyDescent="0.3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69"/>
      <c r="V882" s="3"/>
      <c r="W882" s="3"/>
      <c r="X882" s="3"/>
      <c r="Y882" s="3"/>
      <c r="Z882" s="3"/>
    </row>
    <row r="883" spans="1:26" ht="26.25" customHeight="1" x14ac:dyDescent="0.3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69"/>
      <c r="V883" s="3"/>
      <c r="W883" s="3"/>
      <c r="X883" s="3"/>
      <c r="Y883" s="3"/>
      <c r="Z883" s="3"/>
    </row>
    <row r="884" spans="1:26" ht="26.25" customHeight="1" x14ac:dyDescent="0.3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69"/>
      <c r="V884" s="3"/>
      <c r="W884" s="3"/>
      <c r="X884" s="3"/>
      <c r="Y884" s="3"/>
      <c r="Z884" s="3"/>
    </row>
    <row r="885" spans="1:26" ht="26.25" customHeight="1" x14ac:dyDescent="0.3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69"/>
      <c r="V885" s="3"/>
      <c r="W885" s="3"/>
      <c r="X885" s="3"/>
      <c r="Y885" s="3"/>
      <c r="Z885" s="3"/>
    </row>
    <row r="886" spans="1:26" ht="26.25" customHeight="1" x14ac:dyDescent="0.3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69"/>
      <c r="V886" s="3"/>
      <c r="W886" s="3"/>
      <c r="X886" s="3"/>
      <c r="Y886" s="3"/>
      <c r="Z886" s="3"/>
    </row>
    <row r="887" spans="1:26" ht="26.25" customHeight="1" x14ac:dyDescent="0.3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69"/>
      <c r="V887" s="3"/>
      <c r="W887" s="3"/>
      <c r="X887" s="3"/>
      <c r="Y887" s="3"/>
      <c r="Z887" s="3"/>
    </row>
    <row r="888" spans="1:26" ht="26.25" customHeight="1" x14ac:dyDescent="0.3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69"/>
      <c r="V888" s="3"/>
      <c r="W888" s="3"/>
      <c r="X888" s="3"/>
      <c r="Y888" s="3"/>
      <c r="Z888" s="3"/>
    </row>
    <row r="889" spans="1:26" ht="26.25" customHeight="1" x14ac:dyDescent="0.3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69"/>
      <c r="V889" s="3"/>
      <c r="W889" s="3"/>
      <c r="X889" s="3"/>
      <c r="Y889" s="3"/>
      <c r="Z889" s="3"/>
    </row>
    <row r="890" spans="1:26" ht="26.25" customHeight="1" x14ac:dyDescent="0.3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69"/>
      <c r="V890" s="3"/>
      <c r="W890" s="3"/>
      <c r="X890" s="3"/>
      <c r="Y890" s="3"/>
      <c r="Z890" s="3"/>
    </row>
    <row r="891" spans="1:26" ht="26.25" customHeight="1" x14ac:dyDescent="0.3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69"/>
      <c r="V891" s="3"/>
      <c r="W891" s="3"/>
      <c r="X891" s="3"/>
      <c r="Y891" s="3"/>
      <c r="Z891" s="3"/>
    </row>
    <row r="892" spans="1:26" ht="26.25" customHeight="1" x14ac:dyDescent="0.3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69"/>
      <c r="V892" s="3"/>
      <c r="W892" s="3"/>
      <c r="X892" s="3"/>
      <c r="Y892" s="3"/>
      <c r="Z892" s="3"/>
    </row>
    <row r="893" spans="1:26" ht="26.25" customHeight="1" x14ac:dyDescent="0.3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69"/>
      <c r="V893" s="3"/>
      <c r="W893" s="3"/>
      <c r="X893" s="3"/>
      <c r="Y893" s="3"/>
      <c r="Z893" s="3"/>
    </row>
    <row r="894" spans="1:26" ht="26.25" customHeight="1" x14ac:dyDescent="0.3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69"/>
      <c r="V894" s="3"/>
      <c r="W894" s="3"/>
      <c r="X894" s="3"/>
      <c r="Y894" s="3"/>
      <c r="Z894" s="3"/>
    </row>
    <row r="895" spans="1:26" ht="26.25" customHeight="1" x14ac:dyDescent="0.3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69"/>
      <c r="V895" s="3"/>
      <c r="W895" s="3"/>
      <c r="X895" s="3"/>
      <c r="Y895" s="3"/>
      <c r="Z895" s="3"/>
    </row>
    <row r="896" spans="1:26" ht="26.25" customHeight="1" x14ac:dyDescent="0.3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69"/>
      <c r="V896" s="3"/>
      <c r="W896" s="3"/>
      <c r="X896" s="3"/>
      <c r="Y896" s="3"/>
      <c r="Z896" s="3"/>
    </row>
    <row r="897" spans="1:26" ht="26.25" customHeight="1" x14ac:dyDescent="0.3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69"/>
      <c r="V897" s="3"/>
      <c r="W897" s="3"/>
      <c r="X897" s="3"/>
      <c r="Y897" s="3"/>
      <c r="Z897" s="3"/>
    </row>
    <row r="898" spans="1:26" ht="26.25" customHeight="1" x14ac:dyDescent="0.3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69"/>
      <c r="V898" s="3"/>
      <c r="W898" s="3"/>
      <c r="X898" s="3"/>
      <c r="Y898" s="3"/>
      <c r="Z898" s="3"/>
    </row>
    <row r="899" spans="1:26" ht="26.25" customHeight="1" x14ac:dyDescent="0.3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69"/>
      <c r="V899" s="3"/>
      <c r="W899" s="3"/>
      <c r="X899" s="3"/>
      <c r="Y899" s="3"/>
      <c r="Z899" s="3"/>
    </row>
    <row r="900" spans="1:26" ht="26.25" customHeight="1" x14ac:dyDescent="0.3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69"/>
      <c r="V900" s="3"/>
      <c r="W900" s="3"/>
      <c r="X900" s="3"/>
      <c r="Y900" s="3"/>
      <c r="Z900" s="3"/>
    </row>
    <row r="901" spans="1:26" ht="26.25" customHeight="1" x14ac:dyDescent="0.3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69"/>
      <c r="V901" s="3"/>
      <c r="W901" s="3"/>
      <c r="X901" s="3"/>
      <c r="Y901" s="3"/>
      <c r="Z901" s="3"/>
    </row>
    <row r="902" spans="1:26" ht="26.25" customHeight="1" x14ac:dyDescent="0.3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69"/>
      <c r="V902" s="3"/>
      <c r="W902" s="3"/>
      <c r="X902" s="3"/>
      <c r="Y902" s="3"/>
      <c r="Z902" s="3"/>
    </row>
    <row r="903" spans="1:26" ht="26.25" customHeight="1" x14ac:dyDescent="0.3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69"/>
      <c r="V903" s="3"/>
      <c r="W903" s="3"/>
      <c r="X903" s="3"/>
      <c r="Y903" s="3"/>
      <c r="Z903" s="3"/>
    </row>
    <row r="904" spans="1:26" ht="26.25" customHeight="1" x14ac:dyDescent="0.3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69"/>
      <c r="V904" s="3"/>
      <c r="W904" s="3"/>
      <c r="X904" s="3"/>
      <c r="Y904" s="3"/>
      <c r="Z904" s="3"/>
    </row>
    <row r="905" spans="1:26" ht="26.25" customHeight="1" x14ac:dyDescent="0.3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69"/>
      <c r="V905" s="3"/>
      <c r="W905" s="3"/>
      <c r="X905" s="3"/>
      <c r="Y905" s="3"/>
      <c r="Z905" s="3"/>
    </row>
    <row r="906" spans="1:26" ht="26.25" customHeight="1" x14ac:dyDescent="0.3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69"/>
      <c r="V906" s="3"/>
      <c r="W906" s="3"/>
      <c r="X906" s="3"/>
      <c r="Y906" s="3"/>
      <c r="Z906" s="3"/>
    </row>
    <row r="907" spans="1:26" ht="26.25" customHeight="1" x14ac:dyDescent="0.3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69"/>
      <c r="V907" s="3"/>
      <c r="W907" s="3"/>
      <c r="X907" s="3"/>
      <c r="Y907" s="3"/>
      <c r="Z907" s="3"/>
    </row>
    <row r="908" spans="1:26" ht="26.25" customHeight="1" x14ac:dyDescent="0.3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69"/>
      <c r="V908" s="3"/>
      <c r="W908" s="3"/>
      <c r="X908" s="3"/>
      <c r="Y908" s="3"/>
      <c r="Z908" s="3"/>
    </row>
    <row r="909" spans="1:26" ht="26.25" customHeight="1" x14ac:dyDescent="0.3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69"/>
      <c r="V909" s="3"/>
      <c r="W909" s="3"/>
      <c r="X909" s="3"/>
      <c r="Y909" s="3"/>
      <c r="Z909" s="3"/>
    </row>
    <row r="910" spans="1:26" ht="26.25" customHeight="1" x14ac:dyDescent="0.3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69"/>
      <c r="V910" s="3"/>
      <c r="W910" s="3"/>
      <c r="X910" s="3"/>
      <c r="Y910" s="3"/>
      <c r="Z910" s="3"/>
    </row>
    <row r="911" spans="1:26" ht="26.25" customHeight="1" x14ac:dyDescent="0.3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69"/>
      <c r="V911" s="3"/>
      <c r="W911" s="3"/>
      <c r="X911" s="3"/>
      <c r="Y911" s="3"/>
      <c r="Z911" s="3"/>
    </row>
    <row r="912" spans="1:26" ht="26.25" customHeight="1" x14ac:dyDescent="0.3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69"/>
      <c r="V912" s="3"/>
      <c r="W912" s="3"/>
      <c r="X912" s="3"/>
      <c r="Y912" s="3"/>
      <c r="Z912" s="3"/>
    </row>
    <row r="913" spans="1:26" ht="26.25" customHeight="1" x14ac:dyDescent="0.3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69"/>
      <c r="V913" s="3"/>
      <c r="W913" s="3"/>
      <c r="X913" s="3"/>
      <c r="Y913" s="3"/>
      <c r="Z913" s="3"/>
    </row>
    <row r="914" spans="1:26" ht="26.25" customHeight="1" x14ac:dyDescent="0.3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69"/>
      <c r="V914" s="3"/>
      <c r="W914" s="3"/>
      <c r="X914" s="3"/>
      <c r="Y914" s="3"/>
      <c r="Z914" s="3"/>
    </row>
    <row r="915" spans="1:26" ht="26.25" customHeight="1" x14ac:dyDescent="0.3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69"/>
      <c r="V915" s="3"/>
      <c r="W915" s="3"/>
      <c r="X915" s="3"/>
      <c r="Y915" s="3"/>
      <c r="Z915" s="3"/>
    </row>
    <row r="916" spans="1:26" ht="26.25" customHeight="1" x14ac:dyDescent="0.3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69"/>
      <c r="V916" s="3"/>
      <c r="W916" s="3"/>
      <c r="X916" s="3"/>
      <c r="Y916" s="3"/>
      <c r="Z916" s="3"/>
    </row>
    <row r="917" spans="1:26" ht="26.25" customHeight="1" x14ac:dyDescent="0.3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69"/>
      <c r="V917" s="3"/>
      <c r="W917" s="3"/>
      <c r="X917" s="3"/>
      <c r="Y917" s="3"/>
      <c r="Z917" s="3"/>
    </row>
    <row r="918" spans="1:26" ht="26.25" customHeight="1" x14ac:dyDescent="0.3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69"/>
      <c r="V918" s="3"/>
      <c r="W918" s="3"/>
      <c r="X918" s="3"/>
      <c r="Y918" s="3"/>
      <c r="Z918" s="3"/>
    </row>
    <row r="919" spans="1:26" ht="26.25" customHeight="1" x14ac:dyDescent="0.3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69"/>
      <c r="V919" s="3"/>
      <c r="W919" s="3"/>
      <c r="X919" s="3"/>
      <c r="Y919" s="3"/>
      <c r="Z919" s="3"/>
    </row>
    <row r="920" spans="1:26" ht="26.25" customHeight="1" x14ac:dyDescent="0.3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69"/>
      <c r="V920" s="3"/>
      <c r="W920" s="3"/>
      <c r="X920" s="3"/>
      <c r="Y920" s="3"/>
      <c r="Z920" s="3"/>
    </row>
    <row r="921" spans="1:26" ht="26.25" customHeight="1" x14ac:dyDescent="0.3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69"/>
      <c r="V921" s="3"/>
      <c r="W921" s="3"/>
      <c r="X921" s="3"/>
      <c r="Y921" s="3"/>
      <c r="Z921" s="3"/>
    </row>
    <row r="922" spans="1:26" ht="26.25" customHeight="1" x14ac:dyDescent="0.3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69"/>
      <c r="V922" s="3"/>
      <c r="W922" s="3"/>
      <c r="X922" s="3"/>
      <c r="Y922" s="3"/>
      <c r="Z922" s="3"/>
    </row>
    <row r="923" spans="1:26" ht="26.25" customHeight="1" x14ac:dyDescent="0.3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69"/>
      <c r="V923" s="3"/>
      <c r="W923" s="3"/>
      <c r="X923" s="3"/>
      <c r="Y923" s="3"/>
      <c r="Z923" s="3"/>
    </row>
    <row r="924" spans="1:26" ht="26.25" customHeight="1" x14ac:dyDescent="0.3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69"/>
      <c r="V924" s="3"/>
      <c r="W924" s="3"/>
      <c r="X924" s="3"/>
      <c r="Y924" s="3"/>
      <c r="Z924" s="3"/>
    </row>
    <row r="925" spans="1:26" ht="26.25" customHeight="1" x14ac:dyDescent="0.3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69"/>
      <c r="V925" s="3"/>
      <c r="W925" s="3"/>
      <c r="X925" s="3"/>
      <c r="Y925" s="3"/>
      <c r="Z925" s="3"/>
    </row>
    <row r="926" spans="1:26" ht="26.25" customHeight="1" x14ac:dyDescent="0.3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69"/>
      <c r="V926" s="3"/>
      <c r="W926" s="3"/>
      <c r="X926" s="3"/>
      <c r="Y926" s="3"/>
      <c r="Z926" s="3"/>
    </row>
    <row r="927" spans="1:26" ht="26.25" customHeight="1" x14ac:dyDescent="0.3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69"/>
      <c r="V927" s="3"/>
      <c r="W927" s="3"/>
      <c r="X927" s="3"/>
      <c r="Y927" s="3"/>
      <c r="Z927" s="3"/>
    </row>
    <row r="928" spans="1:26" ht="26.25" customHeight="1" x14ac:dyDescent="0.3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69"/>
      <c r="V928" s="3"/>
      <c r="W928" s="3"/>
      <c r="X928" s="3"/>
      <c r="Y928" s="3"/>
      <c r="Z928" s="3"/>
    </row>
    <row r="929" spans="1:26" ht="26.25" customHeight="1" x14ac:dyDescent="0.3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69"/>
      <c r="V929" s="3"/>
      <c r="W929" s="3"/>
      <c r="X929" s="3"/>
      <c r="Y929" s="3"/>
      <c r="Z929" s="3"/>
    </row>
    <row r="930" spans="1:26" ht="26.25" customHeight="1" x14ac:dyDescent="0.3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69"/>
      <c r="V930" s="3"/>
      <c r="W930" s="3"/>
      <c r="X930" s="3"/>
      <c r="Y930" s="3"/>
      <c r="Z930" s="3"/>
    </row>
    <row r="931" spans="1:26" ht="26.25" customHeight="1" x14ac:dyDescent="0.3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69"/>
      <c r="V931" s="3"/>
      <c r="W931" s="3"/>
      <c r="X931" s="3"/>
      <c r="Y931" s="3"/>
      <c r="Z931" s="3"/>
    </row>
    <row r="932" spans="1:26" ht="26.25" customHeight="1" x14ac:dyDescent="0.3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69"/>
      <c r="V932" s="3"/>
      <c r="W932" s="3"/>
      <c r="X932" s="3"/>
      <c r="Y932" s="3"/>
      <c r="Z932" s="3"/>
    </row>
    <row r="933" spans="1:26" ht="26.25" customHeight="1" x14ac:dyDescent="0.3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69"/>
      <c r="V933" s="3"/>
      <c r="W933" s="3"/>
      <c r="X933" s="3"/>
      <c r="Y933" s="3"/>
      <c r="Z933" s="3"/>
    </row>
    <row r="934" spans="1:26" ht="26.25" customHeight="1" x14ac:dyDescent="0.3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69"/>
      <c r="V934" s="3"/>
      <c r="W934" s="3"/>
      <c r="X934" s="3"/>
      <c r="Y934" s="3"/>
      <c r="Z934" s="3"/>
    </row>
    <row r="935" spans="1:26" ht="26.25" customHeight="1" x14ac:dyDescent="0.3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69"/>
      <c r="V935" s="3"/>
      <c r="W935" s="3"/>
      <c r="X935" s="3"/>
      <c r="Y935" s="3"/>
      <c r="Z935" s="3"/>
    </row>
    <row r="936" spans="1:26" ht="26.25" customHeight="1" x14ac:dyDescent="0.3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69"/>
      <c r="V936" s="3"/>
      <c r="W936" s="3"/>
      <c r="X936" s="3"/>
      <c r="Y936" s="3"/>
      <c r="Z936" s="3"/>
    </row>
    <row r="937" spans="1:26" ht="26.25" customHeight="1" x14ac:dyDescent="0.3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69"/>
      <c r="V937" s="3"/>
      <c r="W937" s="3"/>
      <c r="X937" s="3"/>
      <c r="Y937" s="3"/>
      <c r="Z937" s="3"/>
    </row>
    <row r="938" spans="1:26" ht="26.25" customHeight="1" x14ac:dyDescent="0.3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69"/>
      <c r="V938" s="3"/>
      <c r="W938" s="3"/>
      <c r="X938" s="3"/>
      <c r="Y938" s="3"/>
      <c r="Z938" s="3"/>
    </row>
    <row r="939" spans="1:26" ht="26.25" customHeight="1" x14ac:dyDescent="0.3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69"/>
      <c r="V939" s="3"/>
      <c r="W939" s="3"/>
      <c r="X939" s="3"/>
      <c r="Y939" s="3"/>
      <c r="Z939" s="3"/>
    </row>
    <row r="940" spans="1:26" ht="26.25" customHeight="1" x14ac:dyDescent="0.3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69"/>
      <c r="V940" s="3"/>
      <c r="W940" s="3"/>
      <c r="X940" s="3"/>
      <c r="Y940" s="3"/>
      <c r="Z940" s="3"/>
    </row>
    <row r="941" spans="1:26" ht="26.25" customHeight="1" x14ac:dyDescent="0.3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69"/>
      <c r="V941" s="3"/>
      <c r="W941" s="3"/>
      <c r="X941" s="3"/>
      <c r="Y941" s="3"/>
      <c r="Z941" s="3"/>
    </row>
    <row r="942" spans="1:26" ht="26.25" customHeight="1" x14ac:dyDescent="0.3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69"/>
      <c r="V942" s="3"/>
      <c r="W942" s="3"/>
      <c r="X942" s="3"/>
      <c r="Y942" s="3"/>
      <c r="Z942" s="3"/>
    </row>
    <row r="943" spans="1:26" ht="26.25" customHeight="1" x14ac:dyDescent="0.3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69"/>
      <c r="V943" s="3"/>
      <c r="W943" s="3"/>
      <c r="X943" s="3"/>
      <c r="Y943" s="3"/>
      <c r="Z943" s="3"/>
    </row>
    <row r="944" spans="1:26" ht="26.25" customHeight="1" x14ac:dyDescent="0.3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69"/>
      <c r="V944" s="3"/>
      <c r="W944" s="3"/>
      <c r="X944" s="3"/>
      <c r="Y944" s="3"/>
      <c r="Z944" s="3"/>
    </row>
    <row r="945" spans="1:26" ht="26.25" customHeight="1" x14ac:dyDescent="0.3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69"/>
      <c r="V945" s="3"/>
      <c r="W945" s="3"/>
      <c r="X945" s="3"/>
      <c r="Y945" s="3"/>
      <c r="Z945" s="3"/>
    </row>
    <row r="946" spans="1:26" ht="26.25" customHeight="1" x14ac:dyDescent="0.3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69"/>
      <c r="V946" s="3"/>
      <c r="W946" s="3"/>
      <c r="X946" s="3"/>
      <c r="Y946" s="3"/>
      <c r="Z946" s="3"/>
    </row>
    <row r="947" spans="1:26" ht="26.25" customHeight="1" x14ac:dyDescent="0.3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69"/>
      <c r="V947" s="3"/>
      <c r="W947" s="3"/>
      <c r="X947" s="3"/>
      <c r="Y947" s="3"/>
      <c r="Z947" s="3"/>
    </row>
    <row r="948" spans="1:26" ht="26.25" customHeight="1" x14ac:dyDescent="0.3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69"/>
      <c r="V948" s="3"/>
      <c r="W948" s="3"/>
      <c r="X948" s="3"/>
      <c r="Y948" s="3"/>
      <c r="Z948" s="3"/>
    </row>
    <row r="949" spans="1:26" ht="26.25" customHeight="1" x14ac:dyDescent="0.3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69"/>
      <c r="V949" s="3"/>
      <c r="W949" s="3"/>
      <c r="X949" s="3"/>
      <c r="Y949" s="3"/>
      <c r="Z949" s="3"/>
    </row>
    <row r="950" spans="1:26" ht="26.25" customHeight="1" x14ac:dyDescent="0.3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69"/>
      <c r="V950" s="3"/>
      <c r="W950" s="3"/>
      <c r="X950" s="3"/>
      <c r="Y950" s="3"/>
      <c r="Z950" s="3"/>
    </row>
    <row r="951" spans="1:26" ht="26.25" customHeight="1" x14ac:dyDescent="0.3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69"/>
      <c r="V951" s="3"/>
      <c r="W951" s="3"/>
      <c r="X951" s="3"/>
      <c r="Y951" s="3"/>
      <c r="Z951" s="3"/>
    </row>
    <row r="952" spans="1:26" ht="26.25" customHeight="1" x14ac:dyDescent="0.3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69"/>
      <c r="V952" s="3"/>
      <c r="W952" s="3"/>
      <c r="X952" s="3"/>
      <c r="Y952" s="3"/>
      <c r="Z952" s="3"/>
    </row>
    <row r="953" spans="1:26" ht="26.25" customHeight="1" x14ac:dyDescent="0.3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69"/>
      <c r="V953" s="3"/>
      <c r="W953" s="3"/>
      <c r="X953" s="3"/>
      <c r="Y953" s="3"/>
      <c r="Z953" s="3"/>
    </row>
    <row r="954" spans="1:26" ht="26.25" customHeight="1" x14ac:dyDescent="0.3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69"/>
      <c r="V954" s="3"/>
      <c r="W954" s="3"/>
      <c r="X954" s="3"/>
      <c r="Y954" s="3"/>
      <c r="Z954" s="3"/>
    </row>
    <row r="955" spans="1:26" ht="26.25" customHeight="1" x14ac:dyDescent="0.3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69"/>
      <c r="V955" s="3"/>
      <c r="W955" s="3"/>
      <c r="X955" s="3"/>
      <c r="Y955" s="3"/>
      <c r="Z955" s="3"/>
    </row>
    <row r="956" spans="1:26" ht="26.25" customHeight="1" x14ac:dyDescent="0.3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69"/>
      <c r="V956" s="3"/>
      <c r="W956" s="3"/>
      <c r="X956" s="3"/>
      <c r="Y956" s="3"/>
      <c r="Z956" s="3"/>
    </row>
    <row r="957" spans="1:26" ht="26.25" customHeight="1" x14ac:dyDescent="0.3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69"/>
      <c r="V957" s="3"/>
      <c r="W957" s="3"/>
      <c r="X957" s="3"/>
      <c r="Y957" s="3"/>
      <c r="Z957" s="3"/>
    </row>
    <row r="958" spans="1:26" ht="26.25" customHeight="1" x14ac:dyDescent="0.3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69"/>
      <c r="V958" s="3"/>
      <c r="W958" s="3"/>
      <c r="X958" s="3"/>
      <c r="Y958" s="3"/>
      <c r="Z958" s="3"/>
    </row>
    <row r="959" spans="1:26" ht="26.25" customHeight="1" x14ac:dyDescent="0.3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69"/>
      <c r="V959" s="3"/>
      <c r="W959" s="3"/>
      <c r="X959" s="3"/>
      <c r="Y959" s="3"/>
      <c r="Z959" s="3"/>
    </row>
    <row r="960" spans="1:26" ht="26.25" customHeight="1" x14ac:dyDescent="0.3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69"/>
      <c r="V960" s="3"/>
      <c r="W960" s="3"/>
      <c r="X960" s="3"/>
      <c r="Y960" s="3"/>
      <c r="Z960" s="3"/>
    </row>
    <row r="961" spans="1:26" ht="26.25" customHeight="1" x14ac:dyDescent="0.3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69"/>
      <c r="V961" s="3"/>
      <c r="W961" s="3"/>
      <c r="X961" s="3"/>
      <c r="Y961" s="3"/>
      <c r="Z961" s="3"/>
    </row>
    <row r="962" spans="1:26" ht="26.25" customHeight="1" x14ac:dyDescent="0.3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69"/>
      <c r="V962" s="3"/>
      <c r="W962" s="3"/>
      <c r="X962" s="3"/>
      <c r="Y962" s="3"/>
      <c r="Z962" s="3"/>
    </row>
    <row r="963" spans="1:26" ht="26.25" customHeight="1" x14ac:dyDescent="0.3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69"/>
      <c r="V963" s="3"/>
      <c r="W963" s="3"/>
      <c r="X963" s="3"/>
      <c r="Y963" s="3"/>
      <c r="Z963" s="3"/>
    </row>
    <row r="964" spans="1:26" ht="26.25" customHeight="1" x14ac:dyDescent="0.3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69"/>
      <c r="V964" s="3"/>
      <c r="W964" s="3"/>
      <c r="X964" s="3"/>
      <c r="Y964" s="3"/>
      <c r="Z964" s="3"/>
    </row>
    <row r="965" spans="1:26" ht="26.25" customHeight="1" x14ac:dyDescent="0.3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69"/>
      <c r="V965" s="3"/>
      <c r="W965" s="3"/>
      <c r="X965" s="3"/>
      <c r="Y965" s="3"/>
      <c r="Z965" s="3"/>
    </row>
    <row r="966" spans="1:26" ht="26.25" customHeight="1" x14ac:dyDescent="0.3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69"/>
      <c r="V966" s="3"/>
      <c r="W966" s="3"/>
      <c r="X966" s="3"/>
      <c r="Y966" s="3"/>
      <c r="Z966" s="3"/>
    </row>
    <row r="967" spans="1:26" ht="26.25" customHeight="1" x14ac:dyDescent="0.3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69"/>
      <c r="V967" s="3"/>
      <c r="W967" s="3"/>
      <c r="X967" s="3"/>
      <c r="Y967" s="3"/>
      <c r="Z967" s="3"/>
    </row>
    <row r="968" spans="1:26" ht="26.25" customHeight="1" x14ac:dyDescent="0.3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69"/>
      <c r="V968" s="3"/>
      <c r="W968" s="3"/>
      <c r="X968" s="3"/>
      <c r="Y968" s="3"/>
      <c r="Z968" s="3"/>
    </row>
    <row r="969" spans="1:26" ht="26.25" customHeight="1" x14ac:dyDescent="0.3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69"/>
      <c r="V969" s="3"/>
      <c r="W969" s="3"/>
      <c r="X969" s="3"/>
      <c r="Y969" s="3"/>
      <c r="Z969" s="3"/>
    </row>
    <row r="970" spans="1:26" ht="26.25" customHeight="1" x14ac:dyDescent="0.3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69"/>
      <c r="V970" s="3"/>
      <c r="W970" s="3"/>
      <c r="X970" s="3"/>
      <c r="Y970" s="3"/>
      <c r="Z970" s="3"/>
    </row>
    <row r="971" spans="1:26" ht="26.25" customHeight="1" x14ac:dyDescent="0.3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69"/>
      <c r="V971" s="3"/>
      <c r="W971" s="3"/>
      <c r="X971" s="3"/>
      <c r="Y971" s="3"/>
      <c r="Z971" s="3"/>
    </row>
    <row r="972" spans="1:26" ht="26.25" customHeight="1" x14ac:dyDescent="0.3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69"/>
      <c r="V972" s="3"/>
      <c r="W972" s="3"/>
      <c r="X972" s="3"/>
      <c r="Y972" s="3"/>
      <c r="Z972" s="3"/>
    </row>
    <row r="973" spans="1:26" ht="26.25" customHeight="1" x14ac:dyDescent="0.3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69"/>
      <c r="V973" s="3"/>
      <c r="W973" s="3"/>
      <c r="X973" s="3"/>
      <c r="Y973" s="3"/>
      <c r="Z973" s="3"/>
    </row>
    <row r="974" spans="1:26" ht="26.25" customHeight="1" x14ac:dyDescent="0.3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69"/>
      <c r="V974" s="3"/>
      <c r="W974" s="3"/>
      <c r="X974" s="3"/>
      <c r="Y974" s="3"/>
      <c r="Z974" s="3"/>
    </row>
    <row r="975" spans="1:26" ht="26.25" customHeight="1" x14ac:dyDescent="0.3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69"/>
      <c r="V975" s="3"/>
      <c r="W975" s="3"/>
      <c r="X975" s="3"/>
      <c r="Y975" s="3"/>
      <c r="Z975" s="3"/>
    </row>
    <row r="976" spans="1:26" ht="26.25" customHeight="1" x14ac:dyDescent="0.3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69"/>
      <c r="V976" s="3"/>
      <c r="W976" s="3"/>
      <c r="X976" s="3"/>
      <c r="Y976" s="3"/>
      <c r="Z976" s="3"/>
    </row>
    <row r="977" spans="1:26" ht="26.25" customHeight="1" x14ac:dyDescent="0.3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69"/>
      <c r="V977" s="3"/>
      <c r="W977" s="3"/>
      <c r="X977" s="3"/>
      <c r="Y977" s="3"/>
      <c r="Z977" s="3"/>
    </row>
    <row r="978" spans="1:26" ht="26.25" customHeight="1" x14ac:dyDescent="0.3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69"/>
      <c r="V978" s="3"/>
      <c r="W978" s="3"/>
      <c r="X978" s="3"/>
      <c r="Y978" s="3"/>
      <c r="Z978" s="3"/>
    </row>
    <row r="979" spans="1:26" ht="26.25" customHeight="1" x14ac:dyDescent="0.3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69"/>
      <c r="V979" s="3"/>
      <c r="W979" s="3"/>
      <c r="X979" s="3"/>
      <c r="Y979" s="3"/>
      <c r="Z979" s="3"/>
    </row>
    <row r="980" spans="1:26" ht="26.25" customHeight="1" x14ac:dyDescent="0.3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69"/>
      <c r="V980" s="3"/>
      <c r="W980" s="3"/>
      <c r="X980" s="3"/>
      <c r="Y980" s="3"/>
      <c r="Z980" s="3"/>
    </row>
    <row r="981" spans="1:26" ht="26.25" customHeight="1" x14ac:dyDescent="0.3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69"/>
      <c r="V981" s="3"/>
      <c r="W981" s="3"/>
      <c r="X981" s="3"/>
      <c r="Y981" s="3"/>
      <c r="Z981" s="3"/>
    </row>
    <row r="982" spans="1:26" ht="26.25" customHeight="1" x14ac:dyDescent="0.3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69"/>
      <c r="V982" s="3"/>
      <c r="W982" s="3"/>
      <c r="X982" s="3"/>
      <c r="Y982" s="3"/>
      <c r="Z982" s="3"/>
    </row>
    <row r="983" spans="1:26" ht="26.25" customHeight="1" x14ac:dyDescent="0.3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69"/>
      <c r="V983" s="3"/>
      <c r="W983" s="3"/>
      <c r="X983" s="3"/>
      <c r="Y983" s="3"/>
      <c r="Z983" s="3"/>
    </row>
    <row r="984" spans="1:26" ht="26.25" customHeight="1" x14ac:dyDescent="0.3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69"/>
      <c r="V984" s="3"/>
      <c r="W984" s="3"/>
      <c r="X984" s="3"/>
      <c r="Y984" s="3"/>
      <c r="Z984" s="3"/>
    </row>
    <row r="985" spans="1:26" ht="26.25" customHeight="1" x14ac:dyDescent="0.3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69"/>
      <c r="V985" s="3"/>
      <c r="W985" s="3"/>
      <c r="X985" s="3"/>
      <c r="Y985" s="3"/>
      <c r="Z985" s="3"/>
    </row>
    <row r="986" spans="1:26" ht="26.25" customHeight="1" x14ac:dyDescent="0.3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69"/>
      <c r="V986" s="3"/>
      <c r="W986" s="3"/>
      <c r="X986" s="3"/>
      <c r="Y986" s="3"/>
      <c r="Z986" s="3"/>
    </row>
    <row r="987" spans="1:26" ht="26.25" customHeight="1" x14ac:dyDescent="0.3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69"/>
      <c r="V987" s="3"/>
      <c r="W987" s="3"/>
      <c r="X987" s="3"/>
      <c r="Y987" s="3"/>
      <c r="Z987" s="3"/>
    </row>
    <row r="988" spans="1:26" ht="26.25" customHeight="1" x14ac:dyDescent="0.3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69"/>
      <c r="V988" s="3"/>
      <c r="W988" s="3"/>
      <c r="X988" s="3"/>
      <c r="Y988" s="3"/>
      <c r="Z988" s="3"/>
    </row>
    <row r="989" spans="1:26" ht="26.25" customHeight="1" x14ac:dyDescent="0.3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69"/>
      <c r="V989" s="3"/>
      <c r="W989" s="3"/>
      <c r="X989" s="3"/>
      <c r="Y989" s="3"/>
      <c r="Z989" s="3"/>
    </row>
    <row r="990" spans="1:26" ht="26.25" customHeight="1" x14ac:dyDescent="0.3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69"/>
      <c r="V990" s="3"/>
      <c r="W990" s="3"/>
      <c r="X990" s="3"/>
      <c r="Y990" s="3"/>
      <c r="Z990" s="3"/>
    </row>
    <row r="991" spans="1:26" ht="26.25" customHeight="1" x14ac:dyDescent="0.3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69"/>
      <c r="V991" s="3"/>
      <c r="W991" s="3"/>
      <c r="X991" s="3"/>
      <c r="Y991" s="3"/>
      <c r="Z991" s="3"/>
    </row>
    <row r="992" spans="1:26" ht="26.25" customHeight="1" x14ac:dyDescent="0.3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69"/>
      <c r="V992" s="3"/>
      <c r="W992" s="3"/>
      <c r="X992" s="3"/>
      <c r="Y992" s="3"/>
      <c r="Z992" s="3"/>
    </row>
    <row r="993" spans="1:26" ht="26.25" customHeight="1" x14ac:dyDescent="0.3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69"/>
      <c r="V993" s="3"/>
      <c r="W993" s="3"/>
      <c r="X993" s="3"/>
      <c r="Y993" s="3"/>
      <c r="Z993" s="3"/>
    </row>
    <row r="994" spans="1:26" ht="26.25" customHeight="1" x14ac:dyDescent="0.3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69"/>
      <c r="V994" s="3"/>
      <c r="W994" s="3"/>
      <c r="X994" s="3"/>
      <c r="Y994" s="3"/>
      <c r="Z994" s="3"/>
    </row>
    <row r="995" spans="1:26" ht="26.25" customHeight="1" x14ac:dyDescent="0.3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69"/>
      <c r="V995" s="3"/>
      <c r="W995" s="3"/>
      <c r="X995" s="3"/>
      <c r="Y995" s="3"/>
      <c r="Z995" s="3"/>
    </row>
    <row r="996" spans="1:26" ht="26.25" customHeight="1" x14ac:dyDescent="0.3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69"/>
      <c r="V996" s="3"/>
      <c r="W996" s="3"/>
      <c r="X996" s="3"/>
      <c r="Y996" s="3"/>
      <c r="Z996" s="3"/>
    </row>
    <row r="997" spans="1:26" ht="26.25" customHeight="1" x14ac:dyDescent="0.3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69"/>
      <c r="V997" s="3"/>
      <c r="W997" s="3"/>
      <c r="X997" s="3"/>
      <c r="Y997" s="3"/>
      <c r="Z997" s="3"/>
    </row>
    <row r="998" spans="1:26" ht="26.25" customHeight="1" x14ac:dyDescent="0.3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69"/>
      <c r="V998" s="3"/>
      <c r="W998" s="3"/>
      <c r="X998" s="3"/>
      <c r="Y998" s="3"/>
      <c r="Z998" s="3"/>
    </row>
    <row r="999" spans="1:26" ht="26.25" customHeight="1" x14ac:dyDescent="0.3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69"/>
      <c r="V999" s="3"/>
      <c r="W999" s="3"/>
      <c r="X999" s="3"/>
      <c r="Y999" s="3"/>
      <c r="Z999" s="3"/>
    </row>
    <row r="1000" spans="1:26" ht="26.25" customHeight="1" x14ac:dyDescent="0.3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69"/>
      <c r="V1000" s="3"/>
      <c r="W1000" s="3"/>
      <c r="X1000" s="3"/>
      <c r="Y1000" s="3"/>
      <c r="Z100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5B9BD5"/>
  </sheetPr>
  <dimension ref="A1:L1000"/>
  <sheetViews>
    <sheetView workbookViewId="0">
      <selection activeCell="E5" sqref="E5:K5"/>
    </sheetView>
  </sheetViews>
  <sheetFormatPr defaultColWidth="15.140625" defaultRowHeight="15" customHeight="1" x14ac:dyDescent="0.25"/>
  <cols>
    <col min="1" max="1" width="25.5703125" style="105" bestFit="1" customWidth="1"/>
    <col min="2" max="2" width="10.7109375" style="105" bestFit="1" customWidth="1"/>
    <col min="3" max="3" width="3.7109375" style="105" customWidth="1"/>
    <col min="4" max="4" width="3.42578125" style="105" customWidth="1"/>
    <col min="5" max="11" width="8.42578125" style="105" bestFit="1" customWidth="1"/>
    <col min="12" max="12" width="21.7109375" style="105" bestFit="1" customWidth="1"/>
    <col min="13" max="26" width="7.5703125" style="105" customWidth="1"/>
    <col min="27" max="16384" width="15.140625" style="105"/>
  </cols>
  <sheetData>
    <row r="1" spans="1:12" x14ac:dyDescent="0.25">
      <c r="A1" s="104" t="s">
        <v>121</v>
      </c>
      <c r="B1" s="113" t="s">
        <v>123</v>
      </c>
      <c r="C1" s="104">
        <f>MATCH(B1,daysOfWeekRaw,0)</f>
        <v>1</v>
      </c>
      <c r="D1" s="104"/>
      <c r="E1" s="104" t="s">
        <v>123</v>
      </c>
      <c r="F1" s="104" t="s">
        <v>124</v>
      </c>
      <c r="G1" s="104" t="s">
        <v>125</v>
      </c>
      <c r="H1" s="104" t="s">
        <v>126</v>
      </c>
      <c r="I1" s="104" t="s">
        <v>127</v>
      </c>
      <c r="J1" s="104" t="s">
        <v>128</v>
      </c>
      <c r="K1" s="104" t="s">
        <v>122</v>
      </c>
      <c r="L1" s="104" t="s">
        <v>131</v>
      </c>
    </row>
    <row r="2" spans="1:12" x14ac:dyDescent="0.25">
      <c r="A2" s="104" t="s">
        <v>129</v>
      </c>
      <c r="B2" s="106">
        <f>closingDate</f>
        <v>42792</v>
      </c>
      <c r="C2" s="104" t="str">
        <f>TEXT(B2,"ddd")</f>
        <v>Sun</v>
      </c>
      <c r="D2" s="104">
        <f>MATCH(C2,daysOfWeek,0)</f>
        <v>7</v>
      </c>
      <c r="E2" s="106">
        <f t="shared" ref="E2:K2" si="0">MATCH(E$1,daysOfWeek,0)-$D2+$B2</f>
        <v>42792</v>
      </c>
      <c r="F2" s="106">
        <f t="shared" si="0"/>
        <v>42786</v>
      </c>
      <c r="G2" s="106">
        <f t="shared" si="0"/>
        <v>42787</v>
      </c>
      <c r="H2" s="106">
        <f t="shared" si="0"/>
        <v>42788</v>
      </c>
      <c r="I2" s="106">
        <f t="shared" si="0"/>
        <v>42789</v>
      </c>
      <c r="J2" s="106">
        <f t="shared" si="0"/>
        <v>42790</v>
      </c>
      <c r="K2" s="106">
        <f t="shared" si="0"/>
        <v>42791</v>
      </c>
      <c r="L2" s="104"/>
    </row>
    <row r="3" spans="1:12" x14ac:dyDescent="0.25">
      <c r="A3" s="104" t="s">
        <v>130</v>
      </c>
      <c r="B3" s="106">
        <v>42796</v>
      </c>
      <c r="C3" s="104"/>
      <c r="D3" s="104"/>
      <c r="E3" s="104">
        <f t="shared" ref="E3:J3" si="1">IF(F3=1,7,F3-1)</f>
        <v>2</v>
      </c>
      <c r="F3" s="104">
        <f t="shared" si="1"/>
        <v>3</v>
      </c>
      <c r="G3" s="104">
        <f t="shared" si="1"/>
        <v>4</v>
      </c>
      <c r="H3" s="104">
        <f t="shared" si="1"/>
        <v>5</v>
      </c>
      <c r="I3" s="104">
        <f t="shared" si="1"/>
        <v>6</v>
      </c>
      <c r="J3" s="104">
        <f t="shared" si="1"/>
        <v>7</v>
      </c>
      <c r="K3" s="104">
        <f>C1</f>
        <v>1</v>
      </c>
      <c r="L3" s="104"/>
    </row>
    <row r="4" spans="1:12" x14ac:dyDescent="0.25">
      <c r="A4" s="104"/>
      <c r="B4" s="104"/>
      <c r="C4" s="104"/>
      <c r="D4" s="104"/>
      <c r="E4" s="110" t="str">
        <f t="shared" ref="E4:K4" si="2">INDEX(daysOfWeekRaw,1,E3)</f>
        <v>Mon</v>
      </c>
      <c r="F4" s="110" t="str">
        <f t="shared" si="2"/>
        <v>Tue</v>
      </c>
      <c r="G4" s="110" t="str">
        <f t="shared" si="2"/>
        <v>Wed</v>
      </c>
      <c r="H4" s="110" t="str">
        <f t="shared" si="2"/>
        <v>Thu</v>
      </c>
      <c r="I4" s="110" t="str">
        <f t="shared" si="2"/>
        <v>Fri</v>
      </c>
      <c r="J4" s="110" t="str">
        <f t="shared" si="2"/>
        <v>Sat</v>
      </c>
      <c r="K4" s="110" t="str">
        <f t="shared" si="2"/>
        <v>Sun</v>
      </c>
      <c r="L4" s="104" t="s">
        <v>131</v>
      </c>
    </row>
    <row r="5" spans="1:12" x14ac:dyDescent="0.25">
      <c r="A5" s="104"/>
      <c r="B5" s="104"/>
      <c r="C5" s="104"/>
      <c r="D5" s="104"/>
      <c r="E5" s="111">
        <f t="shared" ref="E5:K5" si="3">INDEX(dayDatesRaw,1,E3)</f>
        <v>42786</v>
      </c>
      <c r="F5" s="111">
        <f t="shared" si="3"/>
        <v>42787</v>
      </c>
      <c r="G5" s="111">
        <f t="shared" si="3"/>
        <v>42788</v>
      </c>
      <c r="H5" s="111">
        <f t="shared" si="3"/>
        <v>42789</v>
      </c>
      <c r="I5" s="111">
        <f t="shared" si="3"/>
        <v>42790</v>
      </c>
      <c r="J5" s="111">
        <f t="shared" si="3"/>
        <v>42791</v>
      </c>
      <c r="K5" s="111">
        <f t="shared" si="3"/>
        <v>42792</v>
      </c>
      <c r="L5" s="104" t="str">
        <f>E7&amp;" - "&amp;K7</f>
        <v>200217 - 260217</v>
      </c>
    </row>
    <row r="6" spans="1:12" x14ac:dyDescent="0.25">
      <c r="A6" s="104"/>
      <c r="B6" s="104"/>
      <c r="C6" s="104"/>
      <c r="D6" s="104"/>
      <c r="E6" s="104" t="str">
        <f t="shared" ref="E6:K6" si="4">TEXT(E5, "ddd dd")</f>
        <v>Mon 20</v>
      </c>
      <c r="F6" s="104" t="str">
        <f t="shared" si="4"/>
        <v>Tue 21</v>
      </c>
      <c r="G6" s="104" t="str">
        <f t="shared" si="4"/>
        <v>Wed 22</v>
      </c>
      <c r="H6" s="104" t="str">
        <f t="shared" si="4"/>
        <v>Thu 23</v>
      </c>
      <c r="I6" s="104" t="str">
        <f t="shared" si="4"/>
        <v>Fri 24</v>
      </c>
      <c r="J6" s="104" t="str">
        <f t="shared" si="4"/>
        <v>Sat 25</v>
      </c>
      <c r="K6" s="104" t="str">
        <f t="shared" si="4"/>
        <v>Sun 26</v>
      </c>
      <c r="L6" s="104" t="str">
        <f>L4&amp;" "&amp;L5</f>
        <v>Summary 200217 - 260217</v>
      </c>
    </row>
    <row r="7" spans="1:12" x14ac:dyDescent="0.25">
      <c r="A7" s="104" t="str">
        <f>"Summary " &amp;E7&amp;" - "&amp;K7</f>
        <v>Summary 200217 - 260217</v>
      </c>
      <c r="B7" s="104"/>
      <c r="C7" s="104"/>
      <c r="D7" s="104"/>
      <c r="E7" s="112" t="str">
        <f>TEXT(E5,"ddmmyy")</f>
        <v>200217</v>
      </c>
      <c r="F7" s="104"/>
      <c r="G7" s="104"/>
      <c r="H7" s="104"/>
      <c r="I7" s="104"/>
      <c r="J7" s="104"/>
      <c r="K7" s="112" t="str">
        <f>TEXT(K5,"ddmmyy")</f>
        <v>260217</v>
      </c>
      <c r="L7" s="104"/>
    </row>
    <row r="8" spans="1:12" x14ac:dyDescent="0.25">
      <c r="A8" s="107"/>
      <c r="B8" s="107"/>
      <c r="C8" s="107"/>
      <c r="D8" s="107"/>
    </row>
    <row r="9" spans="1:12" x14ac:dyDescent="0.25">
      <c r="A9" s="107"/>
      <c r="C9" s="107"/>
      <c r="D9" s="107"/>
      <c r="E9" s="108"/>
    </row>
    <row r="10" spans="1:12" x14ac:dyDescent="0.25">
      <c r="A10" s="107"/>
      <c r="B10" s="107"/>
      <c r="C10" s="107"/>
      <c r="D10" s="107"/>
    </row>
    <row r="11" spans="1:12" x14ac:dyDescent="0.25">
      <c r="A11" s="107"/>
      <c r="B11" s="107"/>
      <c r="C11" s="107"/>
      <c r="D11" s="107"/>
    </row>
    <row r="12" spans="1:12" x14ac:dyDescent="0.25">
      <c r="A12" s="107"/>
      <c r="B12" s="107"/>
      <c r="C12" s="107"/>
      <c r="D12" s="107"/>
    </row>
    <row r="13" spans="1:12" x14ac:dyDescent="0.25">
      <c r="A13" s="107"/>
      <c r="B13" s="107"/>
      <c r="C13" s="107"/>
      <c r="D13" s="107"/>
      <c r="E13" s="108"/>
    </row>
    <row r="14" spans="1:12" x14ac:dyDescent="0.25">
      <c r="A14" s="107"/>
      <c r="B14" s="107"/>
      <c r="C14" s="107"/>
      <c r="D14" s="107"/>
    </row>
    <row r="15" spans="1:12" x14ac:dyDescent="0.25">
      <c r="A15" s="107"/>
      <c r="B15" s="107"/>
      <c r="C15" s="107"/>
      <c r="D15" s="107"/>
    </row>
    <row r="16" spans="1:12" x14ac:dyDescent="0.25">
      <c r="A16" s="107"/>
      <c r="B16" s="107"/>
      <c r="C16" s="107"/>
      <c r="D16" s="107"/>
    </row>
    <row r="17" spans="1:4" x14ac:dyDescent="0.25">
      <c r="A17" s="107"/>
      <c r="B17" s="107"/>
      <c r="C17" s="107"/>
      <c r="D17" s="107"/>
    </row>
    <row r="18" spans="1:4" x14ac:dyDescent="0.25">
      <c r="A18" s="107"/>
      <c r="B18" s="107"/>
      <c r="C18" s="107"/>
      <c r="D18" s="107"/>
    </row>
    <row r="19" spans="1:4" x14ac:dyDescent="0.25">
      <c r="A19" s="107"/>
      <c r="B19" s="107"/>
      <c r="C19" s="107"/>
      <c r="D19" s="107"/>
    </row>
    <row r="20" spans="1:4" x14ac:dyDescent="0.25">
      <c r="A20" s="107"/>
      <c r="B20" s="107"/>
      <c r="C20" s="107"/>
      <c r="D20" s="107"/>
    </row>
    <row r="21" spans="1:4" x14ac:dyDescent="0.25">
      <c r="A21" s="107"/>
      <c r="B21" s="107"/>
      <c r="C21" s="107"/>
      <c r="D21" s="107"/>
    </row>
    <row r="22" spans="1:4" x14ac:dyDescent="0.25">
      <c r="A22" s="107"/>
      <c r="B22" s="107"/>
      <c r="C22" s="107"/>
      <c r="D22" s="107"/>
    </row>
    <row r="23" spans="1:4" x14ac:dyDescent="0.25">
      <c r="A23" s="107"/>
      <c r="B23" s="107"/>
      <c r="C23" s="107"/>
      <c r="D23" s="107"/>
    </row>
    <row r="24" spans="1:4" x14ac:dyDescent="0.25">
      <c r="A24" s="107"/>
      <c r="B24" s="107"/>
      <c r="C24" s="107"/>
      <c r="D24" s="107"/>
    </row>
    <row r="25" spans="1:4" x14ac:dyDescent="0.25">
      <c r="A25" s="107"/>
      <c r="B25" s="107"/>
      <c r="C25" s="107"/>
      <c r="D25" s="107"/>
    </row>
    <row r="26" spans="1:4" x14ac:dyDescent="0.25">
      <c r="A26" s="107"/>
      <c r="B26" s="107"/>
      <c r="C26" s="107"/>
      <c r="D26" s="107"/>
    </row>
    <row r="27" spans="1:4" x14ac:dyDescent="0.25">
      <c r="A27" s="107"/>
      <c r="B27" s="107"/>
      <c r="C27" s="107"/>
      <c r="D27" s="107"/>
    </row>
    <row r="28" spans="1:4" x14ac:dyDescent="0.25">
      <c r="A28" s="107"/>
      <c r="B28" s="107"/>
      <c r="C28" s="107"/>
      <c r="D28" s="107"/>
    </row>
    <row r="29" spans="1:4" x14ac:dyDescent="0.25">
      <c r="A29" s="107"/>
      <c r="B29" s="107"/>
      <c r="C29" s="107"/>
      <c r="D29" s="107"/>
    </row>
    <row r="30" spans="1:4" x14ac:dyDescent="0.25">
      <c r="A30" s="107"/>
      <c r="B30" s="107"/>
      <c r="C30" s="107"/>
      <c r="D30" s="107"/>
    </row>
    <row r="31" spans="1:4" x14ac:dyDescent="0.25">
      <c r="A31" s="107"/>
      <c r="B31" s="107"/>
      <c r="C31" s="107"/>
      <c r="D31" s="107"/>
    </row>
    <row r="32" spans="1:4" x14ac:dyDescent="0.25">
      <c r="A32" s="107"/>
      <c r="B32" s="107"/>
      <c r="C32" s="107"/>
      <c r="D32" s="107"/>
    </row>
    <row r="33" spans="1:4" x14ac:dyDescent="0.25">
      <c r="A33" s="107"/>
      <c r="B33" s="107"/>
      <c r="C33" s="107"/>
      <c r="D33" s="107"/>
    </row>
    <row r="34" spans="1:4" x14ac:dyDescent="0.25">
      <c r="A34" s="107"/>
      <c r="B34" s="107"/>
      <c r="C34" s="107"/>
      <c r="D34" s="107"/>
    </row>
    <row r="35" spans="1:4" x14ac:dyDescent="0.25">
      <c r="A35" s="107"/>
      <c r="B35" s="107"/>
      <c r="C35" s="107"/>
      <c r="D35" s="107"/>
    </row>
    <row r="36" spans="1:4" x14ac:dyDescent="0.25">
      <c r="A36" s="107"/>
      <c r="B36" s="107"/>
      <c r="C36" s="107"/>
      <c r="D36" s="107"/>
    </row>
    <row r="37" spans="1:4" x14ac:dyDescent="0.25">
      <c r="A37" s="107"/>
      <c r="B37" s="107"/>
      <c r="C37" s="107"/>
      <c r="D37" s="107"/>
    </row>
    <row r="38" spans="1:4" x14ac:dyDescent="0.25">
      <c r="A38" s="107"/>
      <c r="B38" s="107"/>
      <c r="C38" s="107"/>
      <c r="D38" s="107"/>
    </row>
    <row r="39" spans="1:4" x14ac:dyDescent="0.25">
      <c r="A39" s="107"/>
      <c r="B39" s="107"/>
      <c r="C39" s="107"/>
      <c r="D39" s="107"/>
    </row>
    <row r="40" spans="1:4" x14ac:dyDescent="0.25">
      <c r="A40" s="107"/>
      <c r="B40" s="107"/>
      <c r="C40" s="107"/>
      <c r="D40" s="107"/>
    </row>
    <row r="41" spans="1:4" x14ac:dyDescent="0.25">
      <c r="A41" s="107"/>
      <c r="B41" s="107"/>
      <c r="C41" s="107"/>
      <c r="D41" s="107"/>
    </row>
    <row r="42" spans="1:4" x14ac:dyDescent="0.25">
      <c r="A42" s="107"/>
      <c r="B42" s="107"/>
      <c r="C42" s="107"/>
      <c r="D42" s="107"/>
    </row>
    <row r="43" spans="1:4" x14ac:dyDescent="0.25">
      <c r="A43" s="107"/>
      <c r="B43" s="107"/>
      <c r="C43" s="107"/>
      <c r="D43" s="107"/>
    </row>
    <row r="44" spans="1:4" x14ac:dyDescent="0.25">
      <c r="A44" s="107"/>
      <c r="B44" s="107"/>
      <c r="C44" s="107"/>
      <c r="D44" s="107"/>
    </row>
    <row r="45" spans="1:4" x14ac:dyDescent="0.25">
      <c r="A45" s="107"/>
      <c r="B45" s="107"/>
      <c r="C45" s="107"/>
      <c r="D45" s="107"/>
    </row>
    <row r="46" spans="1:4" x14ac:dyDescent="0.25">
      <c r="A46" s="107"/>
      <c r="B46" s="107"/>
      <c r="C46" s="107"/>
      <c r="D46" s="107"/>
    </row>
    <row r="47" spans="1:4" x14ac:dyDescent="0.25">
      <c r="A47" s="107"/>
      <c r="B47" s="107"/>
      <c r="C47" s="107"/>
      <c r="D47" s="107"/>
    </row>
    <row r="48" spans="1:4" x14ac:dyDescent="0.25">
      <c r="A48" s="107"/>
      <c r="B48" s="107"/>
      <c r="C48" s="107"/>
      <c r="D48" s="107"/>
    </row>
    <row r="49" spans="1:4" x14ac:dyDescent="0.25">
      <c r="A49" s="107"/>
      <c r="B49" s="107"/>
      <c r="C49" s="107"/>
      <c r="D49" s="107"/>
    </row>
    <row r="50" spans="1:4" x14ac:dyDescent="0.25">
      <c r="A50" s="107"/>
      <c r="B50" s="107"/>
      <c r="C50" s="107"/>
      <c r="D50" s="107"/>
    </row>
    <row r="51" spans="1:4" x14ac:dyDescent="0.25">
      <c r="A51" s="107"/>
      <c r="B51" s="107"/>
      <c r="C51" s="107"/>
      <c r="D51" s="107"/>
    </row>
    <row r="52" spans="1:4" x14ac:dyDescent="0.25">
      <c r="A52" s="107"/>
      <c r="B52" s="107"/>
      <c r="C52" s="107"/>
      <c r="D52" s="107"/>
    </row>
    <row r="53" spans="1:4" x14ac:dyDescent="0.25">
      <c r="A53" s="107"/>
      <c r="B53" s="107"/>
      <c r="C53" s="107"/>
      <c r="D53" s="107"/>
    </row>
    <row r="54" spans="1:4" x14ac:dyDescent="0.25">
      <c r="A54" s="107"/>
      <c r="B54" s="107"/>
      <c r="C54" s="107"/>
      <c r="D54" s="107"/>
    </row>
    <row r="55" spans="1:4" x14ac:dyDescent="0.25">
      <c r="A55" s="107"/>
      <c r="B55" s="107"/>
      <c r="C55" s="107"/>
      <c r="D55" s="107"/>
    </row>
    <row r="56" spans="1:4" x14ac:dyDescent="0.25">
      <c r="A56" s="107"/>
      <c r="B56" s="107"/>
      <c r="C56" s="107"/>
      <c r="D56" s="107"/>
    </row>
    <row r="57" spans="1:4" x14ac:dyDescent="0.25">
      <c r="A57" s="107"/>
      <c r="B57" s="107"/>
      <c r="C57" s="107"/>
      <c r="D57" s="107"/>
    </row>
    <row r="58" spans="1:4" x14ac:dyDescent="0.25">
      <c r="A58" s="107"/>
      <c r="B58" s="107"/>
      <c r="C58" s="107"/>
      <c r="D58" s="107"/>
    </row>
    <row r="59" spans="1:4" x14ac:dyDescent="0.25">
      <c r="A59" s="107"/>
      <c r="B59" s="107"/>
      <c r="C59" s="107"/>
      <c r="D59" s="107"/>
    </row>
    <row r="60" spans="1:4" x14ac:dyDescent="0.25">
      <c r="A60" s="107"/>
      <c r="B60" s="107"/>
      <c r="C60" s="107"/>
      <c r="D60" s="107"/>
    </row>
    <row r="61" spans="1:4" x14ac:dyDescent="0.25">
      <c r="A61" s="107"/>
      <c r="B61" s="107"/>
      <c r="C61" s="107"/>
      <c r="D61" s="107"/>
    </row>
    <row r="62" spans="1:4" x14ac:dyDescent="0.25">
      <c r="A62" s="107"/>
      <c r="B62" s="107"/>
      <c r="C62" s="107"/>
      <c r="D62" s="107"/>
    </row>
    <row r="63" spans="1:4" x14ac:dyDescent="0.25">
      <c r="A63" s="107"/>
      <c r="B63" s="107"/>
      <c r="C63" s="107"/>
      <c r="D63" s="107"/>
    </row>
    <row r="64" spans="1:4" x14ac:dyDescent="0.25">
      <c r="A64" s="107"/>
      <c r="B64" s="107"/>
      <c r="C64" s="107"/>
      <c r="D64" s="107"/>
    </row>
    <row r="65" spans="1:4" x14ac:dyDescent="0.25">
      <c r="A65" s="107"/>
      <c r="B65" s="107"/>
      <c r="C65" s="107"/>
      <c r="D65" s="107"/>
    </row>
    <row r="66" spans="1:4" x14ac:dyDescent="0.25">
      <c r="A66" s="107"/>
      <c r="B66" s="107"/>
      <c r="C66" s="107"/>
      <c r="D66" s="107"/>
    </row>
    <row r="67" spans="1:4" x14ac:dyDescent="0.25">
      <c r="A67" s="107"/>
      <c r="B67" s="107"/>
      <c r="C67" s="107"/>
      <c r="D67" s="107"/>
    </row>
    <row r="68" spans="1:4" x14ac:dyDescent="0.25">
      <c r="A68" s="107"/>
      <c r="B68" s="107"/>
      <c r="C68" s="107"/>
      <c r="D68" s="107"/>
    </row>
    <row r="69" spans="1:4" x14ac:dyDescent="0.25">
      <c r="A69" s="107"/>
      <c r="B69" s="107"/>
      <c r="C69" s="107"/>
      <c r="D69" s="107"/>
    </row>
    <row r="70" spans="1:4" x14ac:dyDescent="0.25">
      <c r="A70" s="107"/>
      <c r="B70" s="107"/>
      <c r="C70" s="107"/>
      <c r="D70" s="107"/>
    </row>
    <row r="71" spans="1:4" x14ac:dyDescent="0.25">
      <c r="A71" s="107"/>
      <c r="B71" s="107"/>
      <c r="C71" s="107"/>
      <c r="D71" s="107"/>
    </row>
    <row r="72" spans="1:4" x14ac:dyDescent="0.25">
      <c r="A72" s="107"/>
      <c r="B72" s="107"/>
      <c r="C72" s="107"/>
      <c r="D72" s="107"/>
    </row>
    <row r="73" spans="1:4" x14ac:dyDescent="0.25">
      <c r="A73" s="107"/>
      <c r="B73" s="107"/>
      <c r="C73" s="107"/>
      <c r="D73" s="107"/>
    </row>
    <row r="74" spans="1:4" x14ac:dyDescent="0.25">
      <c r="A74" s="107"/>
      <c r="B74" s="107"/>
      <c r="C74" s="107"/>
      <c r="D74" s="107"/>
    </row>
    <row r="75" spans="1:4" x14ac:dyDescent="0.25">
      <c r="A75" s="107"/>
      <c r="B75" s="107"/>
      <c r="C75" s="107"/>
      <c r="D75" s="107"/>
    </row>
    <row r="76" spans="1:4" x14ac:dyDescent="0.25">
      <c r="A76" s="107"/>
      <c r="B76" s="107"/>
      <c r="C76" s="107"/>
      <c r="D76" s="107"/>
    </row>
    <row r="77" spans="1:4" x14ac:dyDescent="0.25">
      <c r="A77" s="107"/>
      <c r="B77" s="107"/>
      <c r="C77" s="107"/>
      <c r="D77" s="107"/>
    </row>
    <row r="78" spans="1:4" x14ac:dyDescent="0.25">
      <c r="A78" s="107"/>
      <c r="B78" s="107"/>
      <c r="C78" s="107"/>
      <c r="D78" s="107"/>
    </row>
    <row r="79" spans="1:4" x14ac:dyDescent="0.25">
      <c r="A79" s="107"/>
      <c r="B79" s="107"/>
      <c r="C79" s="107"/>
      <c r="D79" s="107"/>
    </row>
    <row r="80" spans="1:4" x14ac:dyDescent="0.25">
      <c r="A80" s="107"/>
      <c r="B80" s="107"/>
      <c r="C80" s="107"/>
      <c r="D80" s="107"/>
    </row>
    <row r="81" spans="1:4" x14ac:dyDescent="0.25">
      <c r="A81" s="107"/>
      <c r="B81" s="107"/>
      <c r="C81" s="107"/>
      <c r="D81" s="107"/>
    </row>
    <row r="82" spans="1:4" x14ac:dyDescent="0.25">
      <c r="A82" s="107"/>
      <c r="B82" s="107"/>
      <c r="C82" s="107"/>
      <c r="D82" s="107"/>
    </row>
    <row r="83" spans="1:4" x14ac:dyDescent="0.25">
      <c r="A83" s="107"/>
      <c r="B83" s="107"/>
      <c r="C83" s="107"/>
      <c r="D83" s="107"/>
    </row>
    <row r="84" spans="1:4" x14ac:dyDescent="0.25">
      <c r="A84" s="107"/>
      <c r="B84" s="107"/>
      <c r="C84" s="107"/>
      <c r="D84" s="107"/>
    </row>
    <row r="85" spans="1:4" x14ac:dyDescent="0.25">
      <c r="A85" s="107"/>
      <c r="B85" s="107"/>
      <c r="C85" s="107"/>
      <c r="D85" s="107"/>
    </row>
    <row r="86" spans="1:4" x14ac:dyDescent="0.25">
      <c r="A86" s="107"/>
      <c r="B86" s="107"/>
      <c r="C86" s="107"/>
      <c r="D86" s="107"/>
    </row>
    <row r="87" spans="1:4" x14ac:dyDescent="0.25">
      <c r="A87" s="107"/>
      <c r="B87" s="107"/>
      <c r="C87" s="107"/>
      <c r="D87" s="107"/>
    </row>
    <row r="88" spans="1:4" x14ac:dyDescent="0.25">
      <c r="A88" s="107"/>
      <c r="B88" s="107"/>
      <c r="C88" s="107"/>
      <c r="D88" s="107"/>
    </row>
    <row r="89" spans="1:4" x14ac:dyDescent="0.25">
      <c r="A89" s="107"/>
      <c r="B89" s="107"/>
      <c r="C89" s="107"/>
      <c r="D89" s="107"/>
    </row>
    <row r="90" spans="1:4" x14ac:dyDescent="0.25">
      <c r="A90" s="107"/>
      <c r="B90" s="107"/>
      <c r="C90" s="107"/>
      <c r="D90" s="107"/>
    </row>
    <row r="91" spans="1:4" x14ac:dyDescent="0.25">
      <c r="A91" s="107"/>
      <c r="B91" s="107"/>
      <c r="C91" s="107"/>
      <c r="D91" s="107"/>
    </row>
    <row r="92" spans="1:4" x14ac:dyDescent="0.25">
      <c r="A92" s="107"/>
      <c r="B92" s="107"/>
      <c r="C92" s="107"/>
      <c r="D92" s="107"/>
    </row>
    <row r="93" spans="1:4" x14ac:dyDescent="0.25">
      <c r="A93" s="107"/>
      <c r="B93" s="107"/>
      <c r="C93" s="107"/>
      <c r="D93" s="107"/>
    </row>
    <row r="94" spans="1:4" x14ac:dyDescent="0.25">
      <c r="A94" s="107"/>
      <c r="B94" s="107"/>
      <c r="C94" s="107"/>
      <c r="D94" s="107"/>
    </row>
    <row r="95" spans="1:4" x14ac:dyDescent="0.25">
      <c r="A95" s="107"/>
      <c r="B95" s="107"/>
      <c r="C95" s="107"/>
      <c r="D95" s="107"/>
    </row>
    <row r="96" spans="1:4" x14ac:dyDescent="0.25">
      <c r="A96" s="107"/>
      <c r="B96" s="107"/>
      <c r="C96" s="107"/>
      <c r="D96" s="107"/>
    </row>
    <row r="97" spans="1:4" x14ac:dyDescent="0.25">
      <c r="A97" s="107"/>
      <c r="B97" s="107"/>
      <c r="C97" s="107"/>
      <c r="D97" s="107"/>
    </row>
    <row r="98" spans="1:4" x14ac:dyDescent="0.25">
      <c r="A98" s="107"/>
      <c r="B98" s="107"/>
      <c r="C98" s="107"/>
      <c r="D98" s="107"/>
    </row>
    <row r="99" spans="1:4" x14ac:dyDescent="0.25">
      <c r="A99" s="107"/>
      <c r="B99" s="107"/>
      <c r="C99" s="107"/>
      <c r="D99" s="107"/>
    </row>
    <row r="100" spans="1:4" x14ac:dyDescent="0.25">
      <c r="A100" s="107"/>
      <c r="B100" s="107"/>
      <c r="C100" s="107"/>
      <c r="D100" s="107"/>
    </row>
    <row r="101" spans="1:4" x14ac:dyDescent="0.25">
      <c r="A101" s="107"/>
      <c r="B101" s="107"/>
      <c r="C101" s="107"/>
      <c r="D101" s="107"/>
    </row>
    <row r="102" spans="1:4" x14ac:dyDescent="0.25">
      <c r="A102" s="107"/>
      <c r="B102" s="107"/>
      <c r="C102" s="107"/>
      <c r="D102" s="107"/>
    </row>
    <row r="103" spans="1:4" x14ac:dyDescent="0.25">
      <c r="A103" s="107"/>
      <c r="B103" s="107"/>
      <c r="C103" s="107"/>
      <c r="D103" s="107"/>
    </row>
    <row r="104" spans="1:4" x14ac:dyDescent="0.25">
      <c r="A104" s="107"/>
      <c r="B104" s="107"/>
      <c r="C104" s="107"/>
      <c r="D104" s="107"/>
    </row>
    <row r="105" spans="1:4" x14ac:dyDescent="0.25">
      <c r="A105" s="107"/>
      <c r="B105" s="107"/>
      <c r="C105" s="107"/>
      <c r="D105" s="107"/>
    </row>
    <row r="106" spans="1:4" x14ac:dyDescent="0.25">
      <c r="A106" s="107"/>
      <c r="B106" s="107"/>
      <c r="C106" s="107"/>
      <c r="D106" s="107"/>
    </row>
    <row r="107" spans="1:4" x14ac:dyDescent="0.25">
      <c r="A107" s="107"/>
      <c r="B107" s="107"/>
      <c r="C107" s="107"/>
      <c r="D107" s="107"/>
    </row>
    <row r="108" spans="1:4" x14ac:dyDescent="0.25">
      <c r="A108" s="107"/>
      <c r="B108" s="107"/>
      <c r="C108" s="107"/>
      <c r="D108" s="107"/>
    </row>
    <row r="109" spans="1:4" x14ac:dyDescent="0.25">
      <c r="A109" s="107"/>
      <c r="B109" s="107"/>
      <c r="C109" s="107"/>
      <c r="D109" s="107"/>
    </row>
    <row r="110" spans="1:4" x14ac:dyDescent="0.25">
      <c r="A110" s="107"/>
      <c r="B110" s="107"/>
      <c r="C110" s="107"/>
      <c r="D110" s="107"/>
    </row>
    <row r="111" spans="1:4" x14ac:dyDescent="0.25">
      <c r="A111" s="107"/>
      <c r="B111" s="107"/>
      <c r="C111" s="107"/>
      <c r="D111" s="107"/>
    </row>
    <row r="112" spans="1:4" x14ac:dyDescent="0.25">
      <c r="A112" s="107"/>
      <c r="B112" s="107"/>
      <c r="C112" s="107"/>
      <c r="D112" s="107"/>
    </row>
    <row r="113" spans="1:4" x14ac:dyDescent="0.25">
      <c r="A113" s="107"/>
      <c r="B113" s="107"/>
      <c r="C113" s="107"/>
      <c r="D113" s="107"/>
    </row>
    <row r="114" spans="1:4" x14ac:dyDescent="0.25">
      <c r="A114" s="107"/>
      <c r="B114" s="107"/>
      <c r="C114" s="107"/>
      <c r="D114" s="107"/>
    </row>
    <row r="115" spans="1:4" x14ac:dyDescent="0.25">
      <c r="A115" s="107"/>
      <c r="B115" s="107"/>
      <c r="C115" s="107"/>
      <c r="D115" s="107"/>
    </row>
    <row r="116" spans="1:4" x14ac:dyDescent="0.25">
      <c r="A116" s="107"/>
      <c r="B116" s="107"/>
      <c r="C116" s="107"/>
      <c r="D116" s="107"/>
    </row>
    <row r="117" spans="1:4" x14ac:dyDescent="0.25">
      <c r="A117" s="107"/>
      <c r="B117" s="107"/>
      <c r="C117" s="107"/>
      <c r="D117" s="107"/>
    </row>
    <row r="118" spans="1:4" x14ac:dyDescent="0.25">
      <c r="A118" s="107"/>
      <c r="B118" s="107"/>
      <c r="C118" s="107"/>
      <c r="D118" s="107"/>
    </row>
    <row r="119" spans="1:4" x14ac:dyDescent="0.25">
      <c r="A119" s="107"/>
      <c r="B119" s="107"/>
      <c r="C119" s="107"/>
      <c r="D119" s="107"/>
    </row>
    <row r="120" spans="1:4" x14ac:dyDescent="0.25">
      <c r="A120" s="107"/>
      <c r="B120" s="107"/>
      <c r="C120" s="107"/>
      <c r="D120" s="107"/>
    </row>
    <row r="121" spans="1:4" x14ac:dyDescent="0.25">
      <c r="A121" s="107"/>
      <c r="B121" s="107"/>
      <c r="C121" s="107"/>
      <c r="D121" s="107"/>
    </row>
    <row r="122" spans="1:4" x14ac:dyDescent="0.25">
      <c r="A122" s="107"/>
      <c r="B122" s="107"/>
      <c r="C122" s="107"/>
      <c r="D122" s="107"/>
    </row>
    <row r="123" spans="1:4" x14ac:dyDescent="0.25">
      <c r="A123" s="107"/>
      <c r="B123" s="107"/>
      <c r="C123" s="107"/>
      <c r="D123" s="107"/>
    </row>
    <row r="124" spans="1:4" x14ac:dyDescent="0.25">
      <c r="A124" s="107"/>
      <c r="B124" s="107"/>
      <c r="C124" s="107"/>
      <c r="D124" s="107"/>
    </row>
    <row r="125" spans="1:4" x14ac:dyDescent="0.25">
      <c r="A125" s="107"/>
      <c r="B125" s="107"/>
      <c r="C125" s="107"/>
      <c r="D125" s="107"/>
    </row>
    <row r="126" spans="1:4" x14ac:dyDescent="0.25">
      <c r="A126" s="107"/>
      <c r="B126" s="107"/>
      <c r="C126" s="107"/>
      <c r="D126" s="107"/>
    </row>
    <row r="127" spans="1:4" x14ac:dyDescent="0.25">
      <c r="A127" s="107"/>
      <c r="B127" s="107"/>
      <c r="C127" s="107"/>
      <c r="D127" s="107"/>
    </row>
    <row r="128" spans="1:4" x14ac:dyDescent="0.25">
      <c r="A128" s="107"/>
      <c r="B128" s="107"/>
      <c r="C128" s="107"/>
      <c r="D128" s="107"/>
    </row>
    <row r="129" spans="1:4" x14ac:dyDescent="0.25">
      <c r="A129" s="107"/>
      <c r="B129" s="107"/>
      <c r="C129" s="107"/>
      <c r="D129" s="107"/>
    </row>
    <row r="130" spans="1:4" x14ac:dyDescent="0.25">
      <c r="A130" s="107"/>
      <c r="B130" s="107"/>
      <c r="C130" s="107"/>
      <c r="D130" s="107"/>
    </row>
    <row r="131" spans="1:4" x14ac:dyDescent="0.25">
      <c r="A131" s="107"/>
      <c r="B131" s="107"/>
      <c r="C131" s="107"/>
      <c r="D131" s="107"/>
    </row>
    <row r="132" spans="1:4" x14ac:dyDescent="0.25">
      <c r="A132" s="107"/>
      <c r="B132" s="107"/>
      <c r="C132" s="107"/>
      <c r="D132" s="107"/>
    </row>
    <row r="133" spans="1:4" x14ac:dyDescent="0.25">
      <c r="A133" s="107"/>
      <c r="B133" s="107"/>
      <c r="C133" s="107"/>
      <c r="D133" s="107"/>
    </row>
    <row r="134" spans="1:4" x14ac:dyDescent="0.25">
      <c r="A134" s="107"/>
      <c r="B134" s="107"/>
      <c r="C134" s="107"/>
      <c r="D134" s="107"/>
    </row>
    <row r="135" spans="1:4" x14ac:dyDescent="0.25">
      <c r="A135" s="107"/>
      <c r="B135" s="107"/>
      <c r="C135" s="107"/>
      <c r="D135" s="107"/>
    </row>
    <row r="136" spans="1:4" x14ac:dyDescent="0.25">
      <c r="A136" s="107"/>
      <c r="B136" s="107"/>
      <c r="C136" s="107"/>
      <c r="D136" s="107"/>
    </row>
    <row r="137" spans="1:4" x14ac:dyDescent="0.25">
      <c r="A137" s="107"/>
      <c r="B137" s="107"/>
      <c r="C137" s="107"/>
      <c r="D137" s="107"/>
    </row>
    <row r="138" spans="1:4" x14ac:dyDescent="0.25">
      <c r="A138" s="107"/>
      <c r="B138" s="107"/>
      <c r="C138" s="107"/>
      <c r="D138" s="107"/>
    </row>
    <row r="139" spans="1:4" x14ac:dyDescent="0.25">
      <c r="A139" s="107"/>
      <c r="B139" s="107"/>
      <c r="C139" s="107"/>
      <c r="D139" s="107"/>
    </row>
    <row r="140" spans="1:4" x14ac:dyDescent="0.25">
      <c r="A140" s="107"/>
      <c r="B140" s="107"/>
      <c r="C140" s="107"/>
      <c r="D140" s="107"/>
    </row>
    <row r="141" spans="1:4" x14ac:dyDescent="0.25">
      <c r="A141" s="107"/>
      <c r="B141" s="107"/>
      <c r="C141" s="107"/>
      <c r="D141" s="107"/>
    </row>
    <row r="142" spans="1:4" x14ac:dyDescent="0.25">
      <c r="A142" s="107"/>
      <c r="B142" s="107"/>
      <c r="C142" s="107"/>
      <c r="D142" s="107"/>
    </row>
    <row r="143" spans="1:4" x14ac:dyDescent="0.25">
      <c r="A143" s="107"/>
      <c r="B143" s="107"/>
      <c r="C143" s="107"/>
      <c r="D143" s="107"/>
    </row>
    <row r="144" spans="1:4" x14ac:dyDescent="0.25">
      <c r="A144" s="107"/>
      <c r="B144" s="107"/>
      <c r="C144" s="107"/>
      <c r="D144" s="107"/>
    </row>
    <row r="145" spans="1:4" x14ac:dyDescent="0.25">
      <c r="A145" s="107"/>
      <c r="B145" s="107"/>
      <c r="C145" s="107"/>
      <c r="D145" s="107"/>
    </row>
    <row r="146" spans="1:4" x14ac:dyDescent="0.25">
      <c r="A146" s="107"/>
      <c r="B146" s="107"/>
      <c r="C146" s="107"/>
      <c r="D146" s="107"/>
    </row>
    <row r="147" spans="1:4" x14ac:dyDescent="0.25">
      <c r="A147" s="107"/>
      <c r="B147" s="107"/>
      <c r="C147" s="107"/>
      <c r="D147" s="107"/>
    </row>
    <row r="148" spans="1:4" x14ac:dyDescent="0.25">
      <c r="A148" s="107"/>
      <c r="B148" s="107"/>
      <c r="C148" s="107"/>
      <c r="D148" s="107"/>
    </row>
    <row r="149" spans="1:4" x14ac:dyDescent="0.25">
      <c r="A149" s="107"/>
      <c r="B149" s="107"/>
      <c r="C149" s="107"/>
      <c r="D149" s="107"/>
    </row>
    <row r="150" spans="1:4" x14ac:dyDescent="0.25">
      <c r="A150" s="107"/>
      <c r="B150" s="107"/>
      <c r="C150" s="107"/>
      <c r="D150" s="107"/>
    </row>
    <row r="151" spans="1:4" x14ac:dyDescent="0.25">
      <c r="A151" s="107"/>
      <c r="B151" s="107"/>
      <c r="C151" s="107"/>
      <c r="D151" s="107"/>
    </row>
    <row r="152" spans="1:4" x14ac:dyDescent="0.25">
      <c r="A152" s="107"/>
      <c r="B152" s="107"/>
      <c r="C152" s="107"/>
      <c r="D152" s="107"/>
    </row>
    <row r="153" spans="1:4" x14ac:dyDescent="0.25">
      <c r="A153" s="107"/>
      <c r="B153" s="107"/>
      <c r="C153" s="107"/>
      <c r="D153" s="107"/>
    </row>
    <row r="154" spans="1:4" x14ac:dyDescent="0.25">
      <c r="A154" s="107"/>
      <c r="B154" s="107"/>
      <c r="C154" s="107"/>
      <c r="D154" s="107"/>
    </row>
    <row r="155" spans="1:4" x14ac:dyDescent="0.25">
      <c r="A155" s="107"/>
      <c r="B155" s="107"/>
      <c r="C155" s="107"/>
      <c r="D155" s="107"/>
    </row>
    <row r="156" spans="1:4" x14ac:dyDescent="0.25">
      <c r="A156" s="107"/>
      <c r="B156" s="107"/>
      <c r="C156" s="107"/>
      <c r="D156" s="107"/>
    </row>
    <row r="157" spans="1:4" x14ac:dyDescent="0.25">
      <c r="A157" s="107"/>
      <c r="B157" s="107"/>
      <c r="C157" s="107"/>
      <c r="D157" s="107"/>
    </row>
    <row r="158" spans="1:4" x14ac:dyDescent="0.25">
      <c r="A158" s="107"/>
      <c r="B158" s="107"/>
      <c r="C158" s="107"/>
      <c r="D158" s="107"/>
    </row>
    <row r="159" spans="1:4" x14ac:dyDescent="0.25">
      <c r="A159" s="107"/>
      <c r="B159" s="107"/>
      <c r="C159" s="107"/>
      <c r="D159" s="107"/>
    </row>
    <row r="160" spans="1:4" x14ac:dyDescent="0.25">
      <c r="A160" s="107"/>
      <c r="B160" s="107"/>
      <c r="C160" s="107"/>
      <c r="D160" s="107"/>
    </row>
    <row r="161" spans="1:4" x14ac:dyDescent="0.25">
      <c r="A161" s="107"/>
      <c r="B161" s="107"/>
      <c r="C161" s="107"/>
      <c r="D161" s="107"/>
    </row>
    <row r="162" spans="1:4" x14ac:dyDescent="0.25">
      <c r="A162" s="107"/>
      <c r="B162" s="107"/>
      <c r="C162" s="107"/>
      <c r="D162" s="107"/>
    </row>
    <row r="163" spans="1:4" x14ac:dyDescent="0.25">
      <c r="A163" s="107"/>
      <c r="B163" s="107"/>
      <c r="C163" s="107"/>
      <c r="D163" s="107"/>
    </row>
    <row r="164" spans="1:4" x14ac:dyDescent="0.25">
      <c r="A164" s="107"/>
      <c r="B164" s="107"/>
      <c r="C164" s="107"/>
      <c r="D164" s="107"/>
    </row>
    <row r="165" spans="1:4" x14ac:dyDescent="0.25">
      <c r="A165" s="107"/>
      <c r="B165" s="107"/>
      <c r="C165" s="107"/>
      <c r="D165" s="107"/>
    </row>
    <row r="166" spans="1:4" x14ac:dyDescent="0.25">
      <c r="A166" s="107"/>
      <c r="B166" s="107"/>
      <c r="C166" s="107"/>
      <c r="D166" s="107"/>
    </row>
    <row r="167" spans="1:4" x14ac:dyDescent="0.25">
      <c r="A167" s="107"/>
      <c r="B167" s="107"/>
      <c r="C167" s="107"/>
      <c r="D167" s="107"/>
    </row>
    <row r="168" spans="1:4" x14ac:dyDescent="0.25">
      <c r="A168" s="107"/>
      <c r="B168" s="107"/>
      <c r="C168" s="107"/>
      <c r="D168" s="107"/>
    </row>
    <row r="169" spans="1:4" x14ac:dyDescent="0.25">
      <c r="A169" s="107"/>
      <c r="B169" s="107"/>
      <c r="C169" s="107"/>
      <c r="D169" s="107"/>
    </row>
    <row r="170" spans="1:4" x14ac:dyDescent="0.25">
      <c r="A170" s="107"/>
      <c r="B170" s="107"/>
      <c r="C170" s="107"/>
      <c r="D170" s="107"/>
    </row>
    <row r="171" spans="1:4" x14ac:dyDescent="0.25">
      <c r="A171" s="107"/>
      <c r="B171" s="107"/>
      <c r="C171" s="107"/>
      <c r="D171" s="107"/>
    </row>
    <row r="172" spans="1:4" x14ac:dyDescent="0.25">
      <c r="A172" s="107"/>
      <c r="B172" s="107"/>
      <c r="C172" s="107"/>
      <c r="D172" s="107"/>
    </row>
    <row r="173" spans="1:4" x14ac:dyDescent="0.25">
      <c r="A173" s="107"/>
      <c r="B173" s="107"/>
      <c r="C173" s="107"/>
      <c r="D173" s="107"/>
    </row>
    <row r="174" spans="1:4" x14ac:dyDescent="0.25">
      <c r="A174" s="107"/>
      <c r="B174" s="107"/>
      <c r="C174" s="107"/>
      <c r="D174" s="107"/>
    </row>
    <row r="175" spans="1:4" x14ac:dyDescent="0.25">
      <c r="A175" s="107"/>
      <c r="B175" s="107"/>
      <c r="C175" s="107"/>
      <c r="D175" s="107"/>
    </row>
    <row r="176" spans="1:4" x14ac:dyDescent="0.25">
      <c r="A176" s="107"/>
      <c r="B176" s="107"/>
      <c r="C176" s="107"/>
      <c r="D176" s="107"/>
    </row>
    <row r="177" spans="1:4" x14ac:dyDescent="0.25">
      <c r="A177" s="107"/>
      <c r="B177" s="107"/>
      <c r="C177" s="107"/>
      <c r="D177" s="107"/>
    </row>
    <row r="178" spans="1:4" x14ac:dyDescent="0.25">
      <c r="A178" s="107"/>
      <c r="B178" s="107"/>
      <c r="C178" s="107"/>
      <c r="D178" s="107"/>
    </row>
    <row r="179" spans="1:4" x14ac:dyDescent="0.25">
      <c r="A179" s="107"/>
      <c r="B179" s="107"/>
      <c r="C179" s="107"/>
      <c r="D179" s="107"/>
    </row>
    <row r="180" spans="1:4" x14ac:dyDescent="0.25">
      <c r="A180" s="107"/>
      <c r="B180" s="107"/>
      <c r="C180" s="107"/>
      <c r="D180" s="107"/>
    </row>
    <row r="181" spans="1:4" x14ac:dyDescent="0.25">
      <c r="A181" s="107"/>
      <c r="B181" s="107"/>
      <c r="C181" s="107"/>
      <c r="D181" s="107"/>
    </row>
    <row r="182" spans="1:4" x14ac:dyDescent="0.25">
      <c r="A182" s="107"/>
      <c r="B182" s="107"/>
      <c r="C182" s="107"/>
      <c r="D182" s="107"/>
    </row>
    <row r="183" spans="1:4" x14ac:dyDescent="0.25">
      <c r="A183" s="107"/>
      <c r="B183" s="107"/>
      <c r="C183" s="107"/>
      <c r="D183" s="107"/>
    </row>
    <row r="184" spans="1:4" x14ac:dyDescent="0.25">
      <c r="A184" s="107"/>
      <c r="B184" s="107"/>
      <c r="C184" s="107"/>
      <c r="D184" s="107"/>
    </row>
    <row r="185" spans="1:4" x14ac:dyDescent="0.25">
      <c r="A185" s="107"/>
      <c r="B185" s="107"/>
      <c r="C185" s="107"/>
      <c r="D185" s="107"/>
    </row>
    <row r="186" spans="1:4" x14ac:dyDescent="0.25">
      <c r="A186" s="107"/>
      <c r="B186" s="107"/>
      <c r="C186" s="107"/>
      <c r="D186" s="107"/>
    </row>
    <row r="187" spans="1:4" x14ac:dyDescent="0.25">
      <c r="A187" s="107"/>
      <c r="B187" s="107"/>
      <c r="C187" s="107"/>
      <c r="D187" s="107"/>
    </row>
    <row r="188" spans="1:4" x14ac:dyDescent="0.25">
      <c r="A188" s="107"/>
      <c r="B188" s="107"/>
      <c r="C188" s="107"/>
      <c r="D188" s="107"/>
    </row>
    <row r="189" spans="1:4" x14ac:dyDescent="0.25">
      <c r="A189" s="107"/>
      <c r="B189" s="107"/>
      <c r="C189" s="107"/>
      <c r="D189" s="107"/>
    </row>
    <row r="190" spans="1:4" x14ac:dyDescent="0.25">
      <c r="A190" s="107"/>
      <c r="B190" s="107"/>
      <c r="C190" s="107"/>
      <c r="D190" s="107"/>
    </row>
    <row r="191" spans="1:4" x14ac:dyDescent="0.25">
      <c r="A191" s="107"/>
      <c r="B191" s="107"/>
      <c r="C191" s="107"/>
      <c r="D191" s="107"/>
    </row>
    <row r="192" spans="1:4" x14ac:dyDescent="0.25">
      <c r="A192" s="107"/>
      <c r="B192" s="107"/>
      <c r="C192" s="107"/>
      <c r="D192" s="107"/>
    </row>
    <row r="193" spans="1:4" x14ac:dyDescent="0.25">
      <c r="A193" s="107"/>
      <c r="B193" s="107"/>
      <c r="C193" s="107"/>
      <c r="D193" s="107"/>
    </row>
    <row r="194" spans="1:4" x14ac:dyDescent="0.25">
      <c r="A194" s="107"/>
      <c r="B194" s="107"/>
      <c r="C194" s="107"/>
      <c r="D194" s="107"/>
    </row>
    <row r="195" spans="1:4" x14ac:dyDescent="0.25">
      <c r="A195" s="107"/>
      <c r="B195" s="107"/>
      <c r="C195" s="107"/>
      <c r="D195" s="107"/>
    </row>
    <row r="196" spans="1:4" x14ac:dyDescent="0.25">
      <c r="A196" s="107"/>
      <c r="B196" s="107"/>
      <c r="C196" s="107"/>
      <c r="D196" s="107"/>
    </row>
    <row r="197" spans="1:4" x14ac:dyDescent="0.25">
      <c r="A197" s="107"/>
      <c r="B197" s="107"/>
      <c r="C197" s="107"/>
      <c r="D197" s="107"/>
    </row>
    <row r="198" spans="1:4" x14ac:dyDescent="0.25">
      <c r="A198" s="107"/>
      <c r="B198" s="107"/>
      <c r="C198" s="107"/>
      <c r="D198" s="107"/>
    </row>
    <row r="199" spans="1:4" x14ac:dyDescent="0.25">
      <c r="A199" s="107"/>
      <c r="B199" s="107"/>
      <c r="C199" s="107"/>
      <c r="D199" s="107"/>
    </row>
    <row r="200" spans="1:4" x14ac:dyDescent="0.25">
      <c r="A200" s="107"/>
      <c r="B200" s="107"/>
      <c r="C200" s="107"/>
      <c r="D200" s="107"/>
    </row>
    <row r="201" spans="1:4" x14ac:dyDescent="0.25">
      <c r="A201" s="107"/>
      <c r="B201" s="107"/>
      <c r="C201" s="107"/>
      <c r="D201" s="107"/>
    </row>
    <row r="202" spans="1:4" x14ac:dyDescent="0.25">
      <c r="A202" s="107"/>
      <c r="B202" s="107"/>
      <c r="C202" s="107"/>
      <c r="D202" s="107"/>
    </row>
    <row r="203" spans="1:4" x14ac:dyDescent="0.25">
      <c r="A203" s="107"/>
      <c r="B203" s="107"/>
      <c r="C203" s="107"/>
      <c r="D203" s="107"/>
    </row>
    <row r="204" spans="1:4" x14ac:dyDescent="0.25">
      <c r="A204" s="107"/>
      <c r="B204" s="107"/>
      <c r="C204" s="107"/>
      <c r="D204" s="107"/>
    </row>
    <row r="205" spans="1:4" x14ac:dyDescent="0.25">
      <c r="A205" s="107"/>
      <c r="B205" s="107"/>
      <c r="C205" s="107"/>
      <c r="D205" s="107"/>
    </row>
    <row r="206" spans="1:4" x14ac:dyDescent="0.25">
      <c r="A206" s="107"/>
      <c r="B206" s="107"/>
      <c r="C206" s="107"/>
      <c r="D206" s="107"/>
    </row>
    <row r="207" spans="1:4" x14ac:dyDescent="0.25">
      <c r="A207" s="107"/>
      <c r="B207" s="107"/>
      <c r="C207" s="107"/>
      <c r="D207" s="107"/>
    </row>
    <row r="208" spans="1:4" x14ac:dyDescent="0.25">
      <c r="A208" s="107"/>
      <c r="B208" s="107"/>
      <c r="C208" s="107"/>
      <c r="D208" s="107"/>
    </row>
    <row r="209" spans="1:4" x14ac:dyDescent="0.25">
      <c r="A209" s="107"/>
      <c r="B209" s="107"/>
      <c r="C209" s="107"/>
      <c r="D209" s="107"/>
    </row>
    <row r="210" spans="1:4" x14ac:dyDescent="0.25">
      <c r="A210" s="107"/>
      <c r="B210" s="107"/>
      <c r="C210" s="107"/>
      <c r="D210" s="107"/>
    </row>
    <row r="211" spans="1:4" x14ac:dyDescent="0.25">
      <c r="A211" s="107"/>
      <c r="B211" s="107"/>
      <c r="C211" s="107"/>
      <c r="D211" s="107"/>
    </row>
    <row r="212" spans="1:4" x14ac:dyDescent="0.25">
      <c r="A212" s="107"/>
      <c r="B212" s="107"/>
      <c r="C212" s="107"/>
      <c r="D212" s="107"/>
    </row>
    <row r="213" spans="1:4" x14ac:dyDescent="0.25">
      <c r="A213" s="107"/>
      <c r="B213" s="107"/>
      <c r="C213" s="107"/>
      <c r="D213" s="107"/>
    </row>
    <row r="214" spans="1:4" x14ac:dyDescent="0.25">
      <c r="A214" s="107"/>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 r="216" spans="1:4" x14ac:dyDescent="0.25">
      <c r="A216" s="107"/>
      <c r="B216" s="107"/>
      <c r="C216" s="107"/>
      <c r="D216" s="107"/>
    </row>
    <row r="217" spans="1:4" x14ac:dyDescent="0.25">
      <c r="A217" s="107"/>
      <c r="B217" s="107"/>
      <c r="C217" s="107"/>
      <c r="D217" s="107"/>
    </row>
    <row r="218" spans="1:4" x14ac:dyDescent="0.25">
      <c r="A218" s="107"/>
      <c r="B218" s="107"/>
      <c r="C218" s="107"/>
      <c r="D218" s="107"/>
    </row>
    <row r="219" spans="1:4" x14ac:dyDescent="0.25">
      <c r="A219" s="107"/>
      <c r="B219" s="107"/>
      <c r="C219" s="107"/>
      <c r="D219" s="107"/>
    </row>
    <row r="220" spans="1:4" x14ac:dyDescent="0.25">
      <c r="A220" s="107"/>
      <c r="B220" s="107"/>
      <c r="C220" s="107"/>
      <c r="D220" s="107"/>
    </row>
    <row r="221" spans="1:4" x14ac:dyDescent="0.25">
      <c r="A221" s="107"/>
      <c r="B221" s="107"/>
      <c r="C221" s="107"/>
      <c r="D221" s="107"/>
    </row>
    <row r="222" spans="1:4" x14ac:dyDescent="0.25">
      <c r="A222" s="107"/>
      <c r="B222" s="107"/>
      <c r="C222" s="107"/>
      <c r="D222" s="107"/>
    </row>
    <row r="223" spans="1:4" x14ac:dyDescent="0.25">
      <c r="A223" s="107"/>
      <c r="B223" s="107"/>
      <c r="C223" s="107"/>
      <c r="D223" s="107"/>
    </row>
    <row r="224" spans="1:4" x14ac:dyDescent="0.25">
      <c r="A224" s="107"/>
      <c r="B224" s="107"/>
      <c r="C224" s="107"/>
      <c r="D224" s="107"/>
    </row>
    <row r="225" spans="1:4" x14ac:dyDescent="0.25">
      <c r="A225" s="107"/>
      <c r="B225" s="107"/>
      <c r="C225" s="107"/>
      <c r="D225" s="107"/>
    </row>
    <row r="226" spans="1:4" x14ac:dyDescent="0.25">
      <c r="A226" s="107"/>
      <c r="B226" s="107"/>
      <c r="C226" s="107"/>
      <c r="D226" s="107"/>
    </row>
    <row r="227" spans="1:4" x14ac:dyDescent="0.25">
      <c r="A227" s="107"/>
      <c r="B227" s="107"/>
      <c r="C227" s="107"/>
      <c r="D227" s="107"/>
    </row>
    <row r="228" spans="1:4" x14ac:dyDescent="0.25">
      <c r="A228" s="107"/>
      <c r="B228" s="107"/>
      <c r="C228" s="107"/>
      <c r="D228" s="107"/>
    </row>
    <row r="229" spans="1:4" x14ac:dyDescent="0.25">
      <c r="A229" s="107"/>
      <c r="B229" s="107"/>
      <c r="C229" s="107"/>
      <c r="D229" s="107"/>
    </row>
    <row r="230" spans="1:4" x14ac:dyDescent="0.25">
      <c r="A230" s="107"/>
      <c r="B230" s="107"/>
      <c r="C230" s="107"/>
      <c r="D230" s="107"/>
    </row>
    <row r="231" spans="1:4" x14ac:dyDescent="0.25">
      <c r="A231" s="107"/>
      <c r="B231" s="107"/>
      <c r="C231" s="107"/>
      <c r="D231" s="107"/>
    </row>
    <row r="232" spans="1:4" x14ac:dyDescent="0.25">
      <c r="A232" s="107"/>
      <c r="B232" s="107"/>
      <c r="C232" s="107"/>
      <c r="D232" s="107"/>
    </row>
    <row r="233" spans="1:4" x14ac:dyDescent="0.25">
      <c r="A233" s="107"/>
      <c r="B233" s="107"/>
      <c r="C233" s="107"/>
      <c r="D233" s="107"/>
    </row>
    <row r="234" spans="1:4" x14ac:dyDescent="0.25">
      <c r="A234" s="107"/>
      <c r="B234" s="107"/>
      <c r="C234" s="107"/>
      <c r="D234" s="107"/>
    </row>
    <row r="235" spans="1:4" x14ac:dyDescent="0.25">
      <c r="A235" s="107"/>
      <c r="B235" s="107"/>
      <c r="C235" s="107"/>
      <c r="D235" s="107"/>
    </row>
    <row r="236" spans="1:4" x14ac:dyDescent="0.25">
      <c r="A236" s="107"/>
      <c r="B236" s="107"/>
      <c r="C236" s="107"/>
      <c r="D236" s="107"/>
    </row>
    <row r="237" spans="1:4" x14ac:dyDescent="0.25">
      <c r="A237" s="107"/>
      <c r="B237" s="107"/>
      <c r="C237" s="107"/>
      <c r="D237" s="107"/>
    </row>
    <row r="238" spans="1:4" x14ac:dyDescent="0.25">
      <c r="A238" s="107"/>
      <c r="B238" s="107"/>
      <c r="C238" s="107"/>
      <c r="D238" s="107"/>
    </row>
    <row r="239" spans="1:4" x14ac:dyDescent="0.25">
      <c r="A239" s="107"/>
      <c r="B239" s="107"/>
      <c r="C239" s="107"/>
      <c r="D239" s="107"/>
    </row>
    <row r="240" spans="1:4" x14ac:dyDescent="0.25">
      <c r="A240" s="107"/>
      <c r="B240" s="107"/>
      <c r="C240" s="107"/>
      <c r="D240" s="107"/>
    </row>
    <row r="241" spans="1:4" x14ac:dyDescent="0.25">
      <c r="A241" s="107"/>
      <c r="B241" s="107"/>
      <c r="C241" s="107"/>
      <c r="D241" s="107"/>
    </row>
    <row r="242" spans="1:4" x14ac:dyDescent="0.25">
      <c r="A242" s="107"/>
      <c r="B242" s="107"/>
      <c r="C242" s="107"/>
      <c r="D242" s="107"/>
    </row>
    <row r="243" spans="1:4" x14ac:dyDescent="0.25">
      <c r="A243" s="107"/>
      <c r="B243" s="107"/>
      <c r="C243" s="107"/>
      <c r="D243" s="107"/>
    </row>
    <row r="244" spans="1:4" x14ac:dyDescent="0.25">
      <c r="A244" s="107"/>
      <c r="B244" s="107"/>
      <c r="C244" s="107"/>
      <c r="D244" s="107"/>
    </row>
    <row r="245" spans="1:4" x14ac:dyDescent="0.25">
      <c r="A245" s="107"/>
      <c r="B245" s="107"/>
      <c r="C245" s="107"/>
      <c r="D245" s="107"/>
    </row>
    <row r="246" spans="1:4" x14ac:dyDescent="0.25">
      <c r="A246" s="107"/>
      <c r="B246" s="107"/>
      <c r="C246" s="107"/>
      <c r="D246" s="107"/>
    </row>
    <row r="247" spans="1:4" x14ac:dyDescent="0.25">
      <c r="A247" s="107"/>
      <c r="B247" s="107"/>
      <c r="C247" s="107"/>
      <c r="D247" s="107"/>
    </row>
    <row r="248" spans="1:4" x14ac:dyDescent="0.25">
      <c r="A248" s="107"/>
      <c r="B248" s="107"/>
      <c r="C248" s="107"/>
      <c r="D248" s="107"/>
    </row>
    <row r="249" spans="1:4" x14ac:dyDescent="0.25">
      <c r="A249" s="107"/>
      <c r="B249" s="107"/>
      <c r="C249" s="107"/>
      <c r="D249" s="107"/>
    </row>
    <row r="250" spans="1:4" x14ac:dyDescent="0.25">
      <c r="A250" s="107"/>
      <c r="B250" s="107"/>
      <c r="C250" s="107"/>
      <c r="D250" s="107"/>
    </row>
    <row r="251" spans="1:4" x14ac:dyDescent="0.25">
      <c r="A251" s="107"/>
      <c r="B251" s="107"/>
      <c r="C251" s="107"/>
      <c r="D251" s="107"/>
    </row>
    <row r="252" spans="1:4" x14ac:dyDescent="0.25">
      <c r="A252" s="107"/>
      <c r="B252" s="107"/>
      <c r="C252" s="107"/>
      <c r="D252" s="107"/>
    </row>
    <row r="253" spans="1:4" x14ac:dyDescent="0.25">
      <c r="A253" s="107"/>
      <c r="B253" s="107"/>
      <c r="C253" s="107"/>
      <c r="D253" s="107"/>
    </row>
    <row r="254" spans="1:4" x14ac:dyDescent="0.25">
      <c r="A254" s="107"/>
      <c r="B254" s="107"/>
      <c r="C254" s="107"/>
      <c r="D254" s="107"/>
    </row>
    <row r="255" spans="1:4" x14ac:dyDescent="0.25">
      <c r="A255" s="107"/>
      <c r="B255" s="107"/>
      <c r="C255" s="107"/>
      <c r="D255" s="107"/>
    </row>
    <row r="256" spans="1:4" x14ac:dyDescent="0.25">
      <c r="A256" s="107"/>
      <c r="B256" s="107"/>
      <c r="C256" s="107"/>
      <c r="D256" s="107"/>
    </row>
    <row r="257" spans="1:4" x14ac:dyDescent="0.25">
      <c r="A257" s="107"/>
      <c r="B257" s="107"/>
      <c r="C257" s="107"/>
      <c r="D257" s="107"/>
    </row>
    <row r="258" spans="1:4" x14ac:dyDescent="0.25">
      <c r="A258" s="107"/>
      <c r="B258" s="107"/>
      <c r="C258" s="107"/>
      <c r="D258" s="107"/>
    </row>
    <row r="259" spans="1:4" x14ac:dyDescent="0.25">
      <c r="A259" s="107"/>
      <c r="B259" s="107"/>
      <c r="C259" s="107"/>
      <c r="D259" s="107"/>
    </row>
    <row r="260" spans="1:4" x14ac:dyDescent="0.25">
      <c r="A260" s="107"/>
      <c r="B260" s="107"/>
      <c r="C260" s="107"/>
      <c r="D260" s="107"/>
    </row>
    <row r="261" spans="1:4" x14ac:dyDescent="0.25">
      <c r="A261" s="107"/>
      <c r="B261" s="107"/>
      <c r="C261" s="107"/>
      <c r="D261" s="107"/>
    </row>
    <row r="262" spans="1:4" x14ac:dyDescent="0.25">
      <c r="A262" s="107"/>
      <c r="B262" s="107"/>
      <c r="C262" s="107"/>
      <c r="D262" s="107"/>
    </row>
    <row r="263" spans="1:4" x14ac:dyDescent="0.25">
      <c r="A263" s="107"/>
      <c r="B263" s="107"/>
      <c r="C263" s="107"/>
      <c r="D263" s="107"/>
    </row>
    <row r="264" spans="1:4" x14ac:dyDescent="0.25">
      <c r="A264" s="107"/>
      <c r="B264" s="107"/>
      <c r="C264" s="107"/>
      <c r="D264" s="107"/>
    </row>
    <row r="265" spans="1:4" x14ac:dyDescent="0.25">
      <c r="A265" s="107"/>
      <c r="B265" s="107"/>
      <c r="C265" s="107"/>
      <c r="D265" s="107"/>
    </row>
    <row r="266" spans="1:4" x14ac:dyDescent="0.25">
      <c r="A266" s="107"/>
      <c r="B266" s="107"/>
      <c r="C266" s="107"/>
      <c r="D266" s="107"/>
    </row>
    <row r="267" spans="1:4" x14ac:dyDescent="0.25">
      <c r="A267" s="107"/>
      <c r="B267" s="107"/>
      <c r="C267" s="107"/>
      <c r="D267" s="107"/>
    </row>
    <row r="268" spans="1:4" x14ac:dyDescent="0.25">
      <c r="A268" s="107"/>
      <c r="B268" s="107"/>
      <c r="C268" s="107"/>
      <c r="D268" s="107"/>
    </row>
    <row r="269" spans="1:4" x14ac:dyDescent="0.25">
      <c r="A269" s="107"/>
      <c r="B269" s="107"/>
      <c r="C269" s="107"/>
      <c r="D269" s="107"/>
    </row>
    <row r="270" spans="1:4" x14ac:dyDescent="0.25">
      <c r="A270" s="107"/>
      <c r="B270" s="107"/>
      <c r="C270" s="107"/>
      <c r="D270" s="107"/>
    </row>
    <row r="271" spans="1:4" x14ac:dyDescent="0.25">
      <c r="A271" s="107"/>
      <c r="B271" s="107"/>
      <c r="C271" s="107"/>
      <c r="D271" s="107"/>
    </row>
    <row r="272" spans="1:4" x14ac:dyDescent="0.25">
      <c r="A272" s="107"/>
      <c r="B272" s="107"/>
      <c r="C272" s="107"/>
      <c r="D272" s="107"/>
    </row>
    <row r="273" spans="1:4" x14ac:dyDescent="0.25">
      <c r="A273" s="107"/>
      <c r="B273" s="107"/>
      <c r="C273" s="107"/>
      <c r="D273" s="107"/>
    </row>
    <row r="274" spans="1:4" x14ac:dyDescent="0.25">
      <c r="A274" s="107"/>
      <c r="B274" s="107"/>
      <c r="C274" s="107"/>
      <c r="D274" s="107"/>
    </row>
    <row r="275" spans="1:4" x14ac:dyDescent="0.25">
      <c r="A275" s="107"/>
      <c r="B275" s="107"/>
      <c r="C275" s="107"/>
      <c r="D275" s="107"/>
    </row>
    <row r="276" spans="1:4" x14ac:dyDescent="0.25">
      <c r="A276" s="107"/>
      <c r="B276" s="107"/>
      <c r="C276" s="107"/>
      <c r="D276" s="107"/>
    </row>
    <row r="277" spans="1:4" x14ac:dyDescent="0.25">
      <c r="A277" s="107"/>
      <c r="B277" s="107"/>
      <c r="C277" s="107"/>
      <c r="D277" s="107"/>
    </row>
    <row r="278" spans="1:4" x14ac:dyDescent="0.25">
      <c r="A278" s="107"/>
      <c r="B278" s="107"/>
      <c r="C278" s="107"/>
      <c r="D278" s="107"/>
    </row>
    <row r="279" spans="1:4" x14ac:dyDescent="0.25">
      <c r="A279" s="107"/>
      <c r="B279" s="107"/>
      <c r="C279" s="107"/>
      <c r="D279" s="107"/>
    </row>
    <row r="280" spans="1:4" x14ac:dyDescent="0.25">
      <c r="A280" s="107"/>
      <c r="B280" s="107"/>
      <c r="C280" s="107"/>
      <c r="D280" s="107"/>
    </row>
    <row r="281" spans="1:4" x14ac:dyDescent="0.25">
      <c r="A281" s="107"/>
      <c r="B281" s="107"/>
      <c r="C281" s="107"/>
      <c r="D281" s="107"/>
    </row>
    <row r="282" spans="1:4" x14ac:dyDescent="0.25">
      <c r="A282" s="107"/>
      <c r="B282" s="107"/>
      <c r="C282" s="107"/>
      <c r="D282" s="107"/>
    </row>
    <row r="283" spans="1:4" x14ac:dyDescent="0.25">
      <c r="A283" s="107"/>
      <c r="B283" s="107"/>
      <c r="C283" s="107"/>
      <c r="D283" s="107"/>
    </row>
    <row r="284" spans="1:4" x14ac:dyDescent="0.25">
      <c r="A284" s="107"/>
      <c r="B284" s="107"/>
      <c r="C284" s="107"/>
      <c r="D284" s="107"/>
    </row>
    <row r="285" spans="1:4" x14ac:dyDescent="0.25">
      <c r="A285" s="107"/>
      <c r="B285" s="107"/>
      <c r="C285" s="107"/>
      <c r="D285" s="107"/>
    </row>
    <row r="286" spans="1:4" x14ac:dyDescent="0.25">
      <c r="A286" s="107"/>
      <c r="B286" s="107"/>
      <c r="C286" s="107"/>
      <c r="D286" s="107"/>
    </row>
    <row r="287" spans="1:4" x14ac:dyDescent="0.25">
      <c r="A287" s="107"/>
      <c r="B287" s="107"/>
      <c r="C287" s="107"/>
      <c r="D287" s="107"/>
    </row>
    <row r="288" spans="1:4" x14ac:dyDescent="0.25">
      <c r="A288" s="107"/>
      <c r="B288" s="107"/>
      <c r="C288" s="107"/>
      <c r="D288" s="107"/>
    </row>
    <row r="289" spans="1:4" x14ac:dyDescent="0.25">
      <c r="A289" s="107"/>
      <c r="B289" s="107"/>
      <c r="C289" s="107"/>
      <c r="D289" s="107"/>
    </row>
    <row r="290" spans="1:4" x14ac:dyDescent="0.25">
      <c r="A290" s="107"/>
      <c r="B290" s="107"/>
      <c r="C290" s="107"/>
      <c r="D290" s="107"/>
    </row>
    <row r="291" spans="1:4" x14ac:dyDescent="0.25">
      <c r="A291" s="107"/>
      <c r="B291" s="107"/>
      <c r="C291" s="107"/>
      <c r="D291" s="107"/>
    </row>
    <row r="292" spans="1:4" x14ac:dyDescent="0.25">
      <c r="A292" s="107"/>
      <c r="B292" s="107"/>
      <c r="C292" s="107"/>
      <c r="D292" s="107"/>
    </row>
    <row r="293" spans="1:4" x14ac:dyDescent="0.25">
      <c r="A293" s="107"/>
      <c r="B293" s="107"/>
      <c r="C293" s="107"/>
      <c r="D293" s="107"/>
    </row>
    <row r="294" spans="1:4" x14ac:dyDescent="0.25">
      <c r="A294" s="107"/>
      <c r="B294" s="107"/>
      <c r="C294" s="107"/>
      <c r="D294" s="107"/>
    </row>
    <row r="295" spans="1:4" x14ac:dyDescent="0.25">
      <c r="A295" s="107"/>
      <c r="B295" s="107"/>
      <c r="C295" s="107"/>
      <c r="D295" s="107"/>
    </row>
    <row r="296" spans="1:4" x14ac:dyDescent="0.25">
      <c r="A296" s="107"/>
      <c r="B296" s="107"/>
      <c r="C296" s="107"/>
      <c r="D296" s="107"/>
    </row>
    <row r="297" spans="1:4" x14ac:dyDescent="0.25">
      <c r="A297" s="107"/>
      <c r="B297" s="107"/>
      <c r="C297" s="107"/>
      <c r="D297" s="107"/>
    </row>
    <row r="298" spans="1:4" x14ac:dyDescent="0.25">
      <c r="A298" s="107"/>
      <c r="B298" s="107"/>
      <c r="C298" s="107"/>
      <c r="D298" s="107"/>
    </row>
    <row r="299" spans="1:4" x14ac:dyDescent="0.25">
      <c r="A299" s="107"/>
      <c r="B299" s="107"/>
      <c r="C299" s="107"/>
      <c r="D299" s="107"/>
    </row>
    <row r="300" spans="1:4" x14ac:dyDescent="0.25">
      <c r="A300" s="107"/>
      <c r="B300" s="107"/>
      <c r="C300" s="107"/>
      <c r="D300" s="107"/>
    </row>
    <row r="301" spans="1:4" x14ac:dyDescent="0.25">
      <c r="A301" s="107"/>
      <c r="B301" s="107"/>
      <c r="C301" s="107"/>
      <c r="D301" s="107"/>
    </row>
    <row r="302" spans="1:4" x14ac:dyDescent="0.25">
      <c r="A302" s="107"/>
      <c r="B302" s="107"/>
      <c r="C302" s="107"/>
      <c r="D302" s="107"/>
    </row>
    <row r="303" spans="1:4" x14ac:dyDescent="0.25">
      <c r="A303" s="107"/>
      <c r="B303" s="107"/>
      <c r="C303" s="107"/>
      <c r="D303" s="107"/>
    </row>
    <row r="304" spans="1:4" x14ac:dyDescent="0.25">
      <c r="A304" s="107"/>
      <c r="B304" s="107"/>
      <c r="C304" s="107"/>
      <c r="D304" s="107"/>
    </row>
    <row r="305" spans="1:4" x14ac:dyDescent="0.25">
      <c r="A305" s="107"/>
      <c r="B305" s="107"/>
      <c r="C305" s="107"/>
      <c r="D305" s="107"/>
    </row>
    <row r="306" spans="1:4" x14ac:dyDescent="0.25">
      <c r="A306" s="107"/>
      <c r="B306" s="107"/>
      <c r="C306" s="107"/>
      <c r="D306" s="107"/>
    </row>
    <row r="307" spans="1:4" x14ac:dyDescent="0.25">
      <c r="A307" s="107"/>
      <c r="B307" s="107"/>
      <c r="C307" s="107"/>
      <c r="D307" s="107"/>
    </row>
    <row r="308" spans="1:4" x14ac:dyDescent="0.25">
      <c r="A308" s="107"/>
      <c r="B308" s="107"/>
      <c r="C308" s="107"/>
      <c r="D308" s="107"/>
    </row>
    <row r="309" spans="1:4" x14ac:dyDescent="0.25">
      <c r="A309" s="107"/>
      <c r="B309" s="107"/>
      <c r="C309" s="107"/>
      <c r="D309" s="107"/>
    </row>
    <row r="310" spans="1:4" x14ac:dyDescent="0.25">
      <c r="A310" s="107"/>
      <c r="B310" s="107"/>
      <c r="C310" s="107"/>
      <c r="D310" s="107"/>
    </row>
    <row r="311" spans="1:4" x14ac:dyDescent="0.25">
      <c r="A311" s="107"/>
      <c r="B311" s="107"/>
      <c r="C311" s="107"/>
      <c r="D311" s="107"/>
    </row>
    <row r="312" spans="1:4" x14ac:dyDescent="0.25">
      <c r="A312" s="107"/>
      <c r="B312" s="107"/>
      <c r="C312" s="107"/>
      <c r="D312" s="107"/>
    </row>
    <row r="313" spans="1:4" x14ac:dyDescent="0.25">
      <c r="A313" s="107"/>
      <c r="B313" s="107"/>
      <c r="C313" s="107"/>
      <c r="D313" s="107"/>
    </row>
    <row r="314" spans="1:4" x14ac:dyDescent="0.25">
      <c r="A314" s="107"/>
      <c r="B314" s="107"/>
      <c r="C314" s="107"/>
      <c r="D314" s="107"/>
    </row>
    <row r="315" spans="1:4" x14ac:dyDescent="0.25">
      <c r="A315" s="107"/>
      <c r="B315" s="107"/>
      <c r="C315" s="107"/>
      <c r="D315" s="107"/>
    </row>
    <row r="316" spans="1:4" x14ac:dyDescent="0.25">
      <c r="A316" s="107"/>
      <c r="B316" s="107"/>
      <c r="C316" s="107"/>
      <c r="D316" s="107"/>
    </row>
    <row r="317" spans="1:4" x14ac:dyDescent="0.25">
      <c r="A317" s="107"/>
      <c r="B317" s="107"/>
      <c r="C317" s="107"/>
      <c r="D317" s="107"/>
    </row>
    <row r="318" spans="1:4" x14ac:dyDescent="0.25">
      <c r="A318" s="107"/>
      <c r="B318" s="107"/>
      <c r="C318" s="107"/>
      <c r="D318" s="107"/>
    </row>
    <row r="319" spans="1:4" x14ac:dyDescent="0.25">
      <c r="A319" s="107"/>
      <c r="B319" s="107"/>
      <c r="C319" s="107"/>
      <c r="D319" s="107"/>
    </row>
    <row r="320" spans="1:4" x14ac:dyDescent="0.25">
      <c r="A320" s="107"/>
      <c r="B320" s="107"/>
      <c r="C320" s="107"/>
      <c r="D320" s="107"/>
    </row>
    <row r="321" spans="1:4" x14ac:dyDescent="0.25">
      <c r="A321" s="107"/>
      <c r="B321" s="107"/>
      <c r="C321" s="107"/>
      <c r="D321" s="107"/>
    </row>
    <row r="322" spans="1:4" x14ac:dyDescent="0.25">
      <c r="A322" s="107"/>
      <c r="B322" s="107"/>
      <c r="C322" s="107"/>
      <c r="D322" s="107"/>
    </row>
    <row r="323" spans="1:4" x14ac:dyDescent="0.25">
      <c r="A323" s="107"/>
      <c r="B323" s="107"/>
      <c r="C323" s="107"/>
      <c r="D323" s="107"/>
    </row>
    <row r="324" spans="1:4" x14ac:dyDescent="0.25">
      <c r="A324" s="107"/>
      <c r="B324" s="107"/>
      <c r="C324" s="107"/>
      <c r="D324" s="107"/>
    </row>
    <row r="325" spans="1:4" x14ac:dyDescent="0.25">
      <c r="A325" s="107"/>
      <c r="B325" s="107"/>
      <c r="C325" s="107"/>
      <c r="D325" s="107"/>
    </row>
    <row r="326" spans="1:4" x14ac:dyDescent="0.25">
      <c r="A326" s="107"/>
      <c r="B326" s="107"/>
      <c r="C326" s="107"/>
      <c r="D326" s="107"/>
    </row>
    <row r="327" spans="1:4" x14ac:dyDescent="0.25">
      <c r="A327" s="107"/>
      <c r="B327" s="107"/>
      <c r="C327" s="107"/>
      <c r="D327" s="107"/>
    </row>
    <row r="328" spans="1:4" x14ac:dyDescent="0.25">
      <c r="A328" s="107"/>
      <c r="B328" s="107"/>
      <c r="C328" s="107"/>
      <c r="D328" s="107"/>
    </row>
    <row r="329" spans="1:4" x14ac:dyDescent="0.25">
      <c r="A329" s="107"/>
      <c r="B329" s="107"/>
      <c r="C329" s="107"/>
      <c r="D329" s="107"/>
    </row>
    <row r="330" spans="1:4" x14ac:dyDescent="0.25">
      <c r="A330" s="107"/>
      <c r="B330" s="107"/>
      <c r="C330" s="107"/>
      <c r="D330" s="107"/>
    </row>
    <row r="331" spans="1:4" x14ac:dyDescent="0.25">
      <c r="A331" s="107"/>
      <c r="B331" s="107"/>
      <c r="C331" s="107"/>
      <c r="D331" s="107"/>
    </row>
    <row r="332" spans="1:4" x14ac:dyDescent="0.25">
      <c r="A332" s="107"/>
      <c r="B332" s="107"/>
      <c r="C332" s="107"/>
      <c r="D332" s="107"/>
    </row>
    <row r="333" spans="1:4" x14ac:dyDescent="0.25">
      <c r="A333" s="107"/>
      <c r="B333" s="107"/>
      <c r="C333" s="107"/>
      <c r="D333" s="107"/>
    </row>
    <row r="334" spans="1:4" x14ac:dyDescent="0.25">
      <c r="A334" s="107"/>
      <c r="B334" s="107"/>
      <c r="C334" s="107"/>
      <c r="D334" s="107"/>
    </row>
    <row r="335" spans="1:4" x14ac:dyDescent="0.25">
      <c r="A335" s="107"/>
      <c r="B335" s="107"/>
      <c r="C335" s="107"/>
      <c r="D335" s="107"/>
    </row>
    <row r="336" spans="1:4" x14ac:dyDescent="0.25">
      <c r="A336" s="107"/>
      <c r="B336" s="107"/>
      <c r="C336" s="107"/>
      <c r="D336" s="107"/>
    </row>
    <row r="337" spans="1:4" x14ac:dyDescent="0.25">
      <c r="A337" s="107"/>
      <c r="B337" s="107"/>
      <c r="C337" s="107"/>
      <c r="D337" s="107"/>
    </row>
    <row r="338" spans="1:4" x14ac:dyDescent="0.25">
      <c r="A338" s="107"/>
      <c r="B338" s="107"/>
      <c r="C338" s="107"/>
      <c r="D338" s="107"/>
    </row>
    <row r="339" spans="1:4" x14ac:dyDescent="0.25">
      <c r="A339" s="107"/>
      <c r="B339" s="107"/>
      <c r="C339" s="107"/>
      <c r="D339" s="107"/>
    </row>
    <row r="340" spans="1:4" x14ac:dyDescent="0.25">
      <c r="A340" s="107"/>
      <c r="B340" s="107"/>
      <c r="C340" s="107"/>
      <c r="D340" s="107"/>
    </row>
    <row r="341" spans="1:4" x14ac:dyDescent="0.25">
      <c r="A341" s="107"/>
      <c r="B341" s="107"/>
      <c r="C341" s="107"/>
      <c r="D341" s="107"/>
    </row>
    <row r="342" spans="1:4" x14ac:dyDescent="0.25">
      <c r="A342" s="107"/>
      <c r="B342" s="107"/>
      <c r="C342" s="107"/>
      <c r="D342" s="107"/>
    </row>
    <row r="343" spans="1:4" x14ac:dyDescent="0.25">
      <c r="A343" s="107"/>
      <c r="B343" s="107"/>
      <c r="C343" s="107"/>
      <c r="D343" s="107"/>
    </row>
    <row r="344" spans="1:4" x14ac:dyDescent="0.25">
      <c r="A344" s="107"/>
      <c r="B344" s="107"/>
      <c r="C344" s="107"/>
      <c r="D344" s="107"/>
    </row>
    <row r="345" spans="1:4" x14ac:dyDescent="0.25">
      <c r="A345" s="107"/>
      <c r="B345" s="107"/>
      <c r="C345" s="107"/>
      <c r="D345" s="107"/>
    </row>
    <row r="346" spans="1:4" x14ac:dyDescent="0.25">
      <c r="A346" s="107"/>
      <c r="B346" s="107"/>
      <c r="C346" s="107"/>
      <c r="D346" s="107"/>
    </row>
    <row r="347" spans="1:4" x14ac:dyDescent="0.25">
      <c r="A347" s="107"/>
      <c r="B347" s="107"/>
      <c r="C347" s="107"/>
      <c r="D347" s="107"/>
    </row>
    <row r="348" spans="1:4" x14ac:dyDescent="0.25">
      <c r="A348" s="107"/>
      <c r="B348" s="107"/>
      <c r="C348" s="107"/>
      <c r="D348" s="107"/>
    </row>
    <row r="349" spans="1:4" x14ac:dyDescent="0.25">
      <c r="A349" s="107"/>
      <c r="B349" s="107"/>
      <c r="C349" s="107"/>
      <c r="D349" s="107"/>
    </row>
    <row r="350" spans="1:4" x14ac:dyDescent="0.25">
      <c r="A350" s="107"/>
      <c r="B350" s="107"/>
      <c r="C350" s="107"/>
      <c r="D350" s="107"/>
    </row>
    <row r="351" spans="1:4" x14ac:dyDescent="0.25">
      <c r="A351" s="107"/>
      <c r="B351" s="107"/>
      <c r="C351" s="107"/>
      <c r="D351" s="107"/>
    </row>
    <row r="352" spans="1:4" x14ac:dyDescent="0.25">
      <c r="A352" s="107"/>
      <c r="B352" s="107"/>
      <c r="C352" s="107"/>
      <c r="D352" s="107"/>
    </row>
    <row r="353" spans="1:4" x14ac:dyDescent="0.25">
      <c r="A353" s="107"/>
      <c r="B353" s="107"/>
      <c r="C353" s="107"/>
      <c r="D353" s="107"/>
    </row>
    <row r="354" spans="1:4" x14ac:dyDescent="0.25">
      <c r="A354" s="107"/>
      <c r="B354" s="107"/>
      <c r="C354" s="107"/>
      <c r="D354" s="107"/>
    </row>
    <row r="355" spans="1:4" x14ac:dyDescent="0.25">
      <c r="A355" s="107"/>
      <c r="B355" s="107"/>
      <c r="C355" s="107"/>
      <c r="D355" s="107"/>
    </row>
    <row r="356" spans="1:4" x14ac:dyDescent="0.25">
      <c r="A356" s="107"/>
      <c r="B356" s="107"/>
      <c r="C356" s="107"/>
      <c r="D356" s="107"/>
    </row>
    <row r="357" spans="1:4" x14ac:dyDescent="0.25">
      <c r="A357" s="107"/>
      <c r="B357" s="107"/>
      <c r="C357" s="107"/>
      <c r="D357" s="107"/>
    </row>
    <row r="358" spans="1:4" x14ac:dyDescent="0.25">
      <c r="A358" s="107"/>
      <c r="B358" s="107"/>
      <c r="C358" s="107"/>
      <c r="D358" s="107"/>
    </row>
    <row r="359" spans="1:4" x14ac:dyDescent="0.25">
      <c r="A359" s="107"/>
      <c r="B359" s="107"/>
      <c r="C359" s="107"/>
      <c r="D359" s="107"/>
    </row>
    <row r="360" spans="1:4" x14ac:dyDescent="0.25">
      <c r="A360" s="107"/>
      <c r="B360" s="107"/>
      <c r="C360" s="107"/>
      <c r="D360" s="107"/>
    </row>
    <row r="361" spans="1:4" x14ac:dyDescent="0.25">
      <c r="A361" s="107"/>
      <c r="B361" s="107"/>
      <c r="C361" s="107"/>
      <c r="D361" s="107"/>
    </row>
    <row r="362" spans="1:4" x14ac:dyDescent="0.25">
      <c r="A362" s="107"/>
      <c r="B362" s="107"/>
      <c r="C362" s="107"/>
      <c r="D362" s="107"/>
    </row>
    <row r="363" spans="1:4" x14ac:dyDescent="0.25">
      <c r="A363" s="107"/>
      <c r="B363" s="107"/>
      <c r="C363" s="107"/>
      <c r="D363" s="107"/>
    </row>
    <row r="364" spans="1:4" x14ac:dyDescent="0.25">
      <c r="A364" s="107"/>
      <c r="B364" s="107"/>
      <c r="C364" s="107"/>
      <c r="D364" s="107"/>
    </row>
    <row r="365" spans="1:4" x14ac:dyDescent="0.25">
      <c r="A365" s="107"/>
      <c r="B365" s="107"/>
      <c r="C365" s="107"/>
      <c r="D365" s="107"/>
    </row>
    <row r="366" spans="1:4" x14ac:dyDescent="0.25">
      <c r="A366" s="107"/>
      <c r="B366" s="107"/>
      <c r="C366" s="107"/>
      <c r="D366" s="107"/>
    </row>
    <row r="367" spans="1:4" x14ac:dyDescent="0.25">
      <c r="A367" s="107"/>
      <c r="B367" s="107"/>
      <c r="C367" s="107"/>
      <c r="D367" s="107"/>
    </row>
    <row r="368" spans="1:4" x14ac:dyDescent="0.25">
      <c r="A368" s="107"/>
      <c r="B368" s="107"/>
      <c r="C368" s="107"/>
      <c r="D368" s="107"/>
    </row>
    <row r="369" spans="1:4" x14ac:dyDescent="0.25">
      <c r="A369" s="107"/>
      <c r="B369" s="107"/>
      <c r="C369" s="107"/>
      <c r="D369" s="107"/>
    </row>
    <row r="370" spans="1:4" x14ac:dyDescent="0.25">
      <c r="A370" s="107"/>
      <c r="B370" s="107"/>
      <c r="C370" s="107"/>
      <c r="D370" s="107"/>
    </row>
    <row r="371" spans="1:4" x14ac:dyDescent="0.25">
      <c r="A371" s="107"/>
      <c r="B371" s="107"/>
      <c r="C371" s="107"/>
      <c r="D371" s="107"/>
    </row>
    <row r="372" spans="1:4" x14ac:dyDescent="0.25">
      <c r="A372" s="107"/>
      <c r="B372" s="107"/>
      <c r="C372" s="107"/>
      <c r="D372" s="107"/>
    </row>
    <row r="373" spans="1:4" x14ac:dyDescent="0.25">
      <c r="A373" s="107"/>
      <c r="B373" s="107"/>
      <c r="C373" s="107"/>
      <c r="D373" s="107"/>
    </row>
    <row r="374" spans="1:4" x14ac:dyDescent="0.25">
      <c r="A374" s="107"/>
      <c r="B374" s="107"/>
      <c r="C374" s="107"/>
      <c r="D374" s="107"/>
    </row>
    <row r="375" spans="1:4" x14ac:dyDescent="0.25">
      <c r="A375" s="107"/>
      <c r="B375" s="107"/>
      <c r="C375" s="107"/>
      <c r="D375" s="107"/>
    </row>
    <row r="376" spans="1:4" x14ac:dyDescent="0.25">
      <c r="A376" s="107"/>
      <c r="B376" s="107"/>
      <c r="C376" s="107"/>
      <c r="D376" s="107"/>
    </row>
    <row r="377" spans="1:4" x14ac:dyDescent="0.25">
      <c r="A377" s="107"/>
      <c r="B377" s="107"/>
      <c r="C377" s="107"/>
      <c r="D377" s="107"/>
    </row>
    <row r="378" spans="1:4" x14ac:dyDescent="0.25">
      <c r="A378" s="107"/>
      <c r="B378" s="107"/>
      <c r="C378" s="107"/>
      <c r="D378" s="107"/>
    </row>
    <row r="379" spans="1:4" x14ac:dyDescent="0.25">
      <c r="A379" s="107"/>
      <c r="B379" s="107"/>
      <c r="C379" s="107"/>
      <c r="D379" s="107"/>
    </row>
    <row r="380" spans="1:4" x14ac:dyDescent="0.25">
      <c r="A380" s="107"/>
      <c r="B380" s="107"/>
      <c r="C380" s="107"/>
      <c r="D380" s="107"/>
    </row>
    <row r="381" spans="1:4" x14ac:dyDescent="0.25">
      <c r="A381" s="107"/>
      <c r="B381" s="107"/>
      <c r="C381" s="107"/>
      <c r="D381" s="107"/>
    </row>
    <row r="382" spans="1:4" x14ac:dyDescent="0.25">
      <c r="A382" s="107"/>
      <c r="B382" s="107"/>
      <c r="C382" s="107"/>
      <c r="D382" s="107"/>
    </row>
    <row r="383" spans="1:4" x14ac:dyDescent="0.25">
      <c r="A383" s="107"/>
      <c r="B383" s="107"/>
      <c r="C383" s="107"/>
      <c r="D383" s="107"/>
    </row>
    <row r="384" spans="1:4" x14ac:dyDescent="0.25">
      <c r="A384" s="107"/>
      <c r="B384" s="107"/>
      <c r="C384" s="107"/>
      <c r="D384" s="107"/>
    </row>
    <row r="385" spans="1:4" x14ac:dyDescent="0.25">
      <c r="A385" s="107"/>
      <c r="B385" s="107"/>
      <c r="C385" s="107"/>
      <c r="D385" s="107"/>
    </row>
    <row r="386" spans="1:4" x14ac:dyDescent="0.25">
      <c r="A386" s="107"/>
      <c r="B386" s="107"/>
      <c r="C386" s="107"/>
      <c r="D386" s="107"/>
    </row>
    <row r="387" spans="1:4" x14ac:dyDescent="0.25">
      <c r="A387" s="107"/>
      <c r="B387" s="107"/>
      <c r="C387" s="107"/>
      <c r="D387" s="107"/>
    </row>
    <row r="388" spans="1:4" x14ac:dyDescent="0.25">
      <c r="A388" s="107"/>
      <c r="B388" s="107"/>
      <c r="C388" s="107"/>
      <c r="D388" s="107"/>
    </row>
    <row r="389" spans="1:4" x14ac:dyDescent="0.25">
      <c r="A389" s="107"/>
      <c r="B389" s="107"/>
      <c r="C389" s="107"/>
      <c r="D389" s="107"/>
    </row>
    <row r="390" spans="1:4" x14ac:dyDescent="0.25">
      <c r="A390" s="107"/>
      <c r="B390" s="107"/>
      <c r="C390" s="107"/>
      <c r="D390" s="107"/>
    </row>
    <row r="391" spans="1:4" x14ac:dyDescent="0.25">
      <c r="A391" s="107"/>
      <c r="B391" s="107"/>
      <c r="C391" s="107"/>
      <c r="D391" s="107"/>
    </row>
    <row r="392" spans="1:4" x14ac:dyDescent="0.25">
      <c r="A392" s="107"/>
      <c r="B392" s="107"/>
      <c r="C392" s="107"/>
      <c r="D392" s="107"/>
    </row>
    <row r="393" spans="1:4" x14ac:dyDescent="0.25">
      <c r="A393" s="107"/>
      <c r="B393" s="107"/>
      <c r="C393" s="107"/>
      <c r="D393" s="107"/>
    </row>
    <row r="394" spans="1:4" x14ac:dyDescent="0.25">
      <c r="A394" s="107"/>
      <c r="B394" s="107"/>
      <c r="C394" s="107"/>
      <c r="D394" s="107"/>
    </row>
    <row r="395" spans="1:4" x14ac:dyDescent="0.25">
      <c r="A395" s="107"/>
      <c r="B395" s="107"/>
      <c r="C395" s="107"/>
      <c r="D395" s="107"/>
    </row>
    <row r="396" spans="1:4" x14ac:dyDescent="0.25">
      <c r="A396" s="107"/>
      <c r="B396" s="107"/>
      <c r="C396" s="107"/>
      <c r="D396" s="107"/>
    </row>
    <row r="397" spans="1:4" x14ac:dyDescent="0.25">
      <c r="A397" s="107"/>
      <c r="B397" s="107"/>
      <c r="C397" s="107"/>
      <c r="D397" s="107"/>
    </row>
    <row r="398" spans="1:4" x14ac:dyDescent="0.25">
      <c r="A398" s="107"/>
      <c r="B398" s="107"/>
      <c r="C398" s="107"/>
      <c r="D398" s="107"/>
    </row>
    <row r="399" spans="1:4" x14ac:dyDescent="0.25">
      <c r="A399" s="107"/>
      <c r="B399" s="107"/>
      <c r="C399" s="107"/>
      <c r="D399" s="107"/>
    </row>
    <row r="400" spans="1:4" x14ac:dyDescent="0.25">
      <c r="A400" s="107"/>
      <c r="B400" s="107"/>
      <c r="C400" s="107"/>
      <c r="D400" s="107"/>
    </row>
    <row r="401" spans="1:4" x14ac:dyDescent="0.25">
      <c r="A401" s="107"/>
      <c r="B401" s="107"/>
      <c r="C401" s="107"/>
      <c r="D401" s="107"/>
    </row>
    <row r="402" spans="1:4" x14ac:dyDescent="0.25">
      <c r="A402" s="107"/>
      <c r="B402" s="107"/>
      <c r="C402" s="107"/>
      <c r="D402" s="107"/>
    </row>
    <row r="403" spans="1:4" x14ac:dyDescent="0.25">
      <c r="A403" s="107"/>
      <c r="B403" s="107"/>
      <c r="C403" s="107"/>
      <c r="D403" s="107"/>
    </row>
    <row r="404" spans="1:4" x14ac:dyDescent="0.25">
      <c r="A404" s="107"/>
      <c r="B404" s="107"/>
      <c r="C404" s="107"/>
      <c r="D404" s="107"/>
    </row>
    <row r="405" spans="1:4" x14ac:dyDescent="0.25">
      <c r="A405" s="107"/>
      <c r="B405" s="107"/>
      <c r="C405" s="107"/>
      <c r="D405" s="107"/>
    </row>
    <row r="406" spans="1:4" x14ac:dyDescent="0.25">
      <c r="A406" s="107"/>
      <c r="B406" s="107"/>
      <c r="C406" s="107"/>
      <c r="D406" s="107"/>
    </row>
    <row r="407" spans="1:4" x14ac:dyDescent="0.25">
      <c r="A407" s="107"/>
      <c r="B407" s="107"/>
      <c r="C407" s="107"/>
      <c r="D407" s="107"/>
    </row>
    <row r="408" spans="1:4" x14ac:dyDescent="0.25">
      <c r="A408" s="107"/>
      <c r="B408" s="107"/>
      <c r="C408" s="107"/>
      <c r="D408" s="107"/>
    </row>
    <row r="409" spans="1:4" x14ac:dyDescent="0.25">
      <c r="A409" s="107"/>
      <c r="B409" s="107"/>
      <c r="C409" s="107"/>
      <c r="D409" s="107"/>
    </row>
    <row r="410" spans="1:4" x14ac:dyDescent="0.25">
      <c r="A410" s="107"/>
      <c r="B410" s="107"/>
      <c r="C410" s="107"/>
      <c r="D410" s="107"/>
    </row>
    <row r="411" spans="1:4" x14ac:dyDescent="0.25">
      <c r="A411" s="107"/>
      <c r="B411" s="107"/>
      <c r="C411" s="107"/>
      <c r="D411" s="107"/>
    </row>
    <row r="412" spans="1:4" x14ac:dyDescent="0.25">
      <c r="A412" s="107"/>
      <c r="B412" s="107"/>
      <c r="C412" s="107"/>
      <c r="D412" s="107"/>
    </row>
    <row r="413" spans="1:4" x14ac:dyDescent="0.25">
      <c r="A413" s="107"/>
      <c r="B413" s="107"/>
      <c r="C413" s="107"/>
      <c r="D413" s="107"/>
    </row>
    <row r="414" spans="1:4" x14ac:dyDescent="0.25">
      <c r="A414" s="107"/>
      <c r="B414" s="107"/>
      <c r="C414" s="107"/>
      <c r="D414" s="107"/>
    </row>
    <row r="415" spans="1:4" x14ac:dyDescent="0.25">
      <c r="A415" s="107"/>
      <c r="B415" s="107"/>
      <c r="C415" s="107"/>
      <c r="D415" s="107"/>
    </row>
    <row r="416" spans="1:4" x14ac:dyDescent="0.25">
      <c r="A416" s="107"/>
      <c r="B416" s="107"/>
      <c r="C416" s="107"/>
      <c r="D416" s="107"/>
    </row>
    <row r="417" spans="1:4" x14ac:dyDescent="0.25">
      <c r="A417" s="107"/>
      <c r="B417" s="107"/>
      <c r="C417" s="107"/>
      <c r="D417" s="107"/>
    </row>
    <row r="418" spans="1:4" x14ac:dyDescent="0.25">
      <c r="A418" s="107"/>
      <c r="B418" s="107"/>
      <c r="C418" s="107"/>
      <c r="D418" s="107"/>
    </row>
    <row r="419" spans="1:4" x14ac:dyDescent="0.25">
      <c r="A419" s="107"/>
      <c r="B419" s="107"/>
      <c r="C419" s="107"/>
      <c r="D419" s="107"/>
    </row>
    <row r="420" spans="1:4" x14ac:dyDescent="0.25">
      <c r="A420" s="107"/>
      <c r="B420" s="107"/>
      <c r="C420" s="107"/>
      <c r="D420" s="107"/>
    </row>
    <row r="421" spans="1:4" x14ac:dyDescent="0.25">
      <c r="A421" s="107"/>
      <c r="B421" s="107"/>
      <c r="C421" s="107"/>
      <c r="D421" s="107"/>
    </row>
    <row r="422" spans="1:4" x14ac:dyDescent="0.25">
      <c r="A422" s="107"/>
      <c r="B422" s="107"/>
      <c r="C422" s="107"/>
      <c r="D422" s="107"/>
    </row>
    <row r="423" spans="1:4" x14ac:dyDescent="0.25">
      <c r="A423" s="107"/>
      <c r="B423" s="107"/>
      <c r="C423" s="107"/>
      <c r="D423" s="107"/>
    </row>
    <row r="424" spans="1:4" x14ac:dyDescent="0.25">
      <c r="A424" s="107"/>
      <c r="B424" s="107"/>
      <c r="C424" s="107"/>
      <c r="D424" s="107"/>
    </row>
    <row r="425" spans="1:4" x14ac:dyDescent="0.25">
      <c r="A425" s="107"/>
      <c r="B425" s="107"/>
      <c r="C425" s="107"/>
      <c r="D425" s="107"/>
    </row>
    <row r="426" spans="1:4" x14ac:dyDescent="0.25">
      <c r="A426" s="107"/>
      <c r="B426" s="107"/>
      <c r="C426" s="107"/>
      <c r="D426" s="107"/>
    </row>
    <row r="427" spans="1:4" x14ac:dyDescent="0.25">
      <c r="A427" s="107"/>
      <c r="B427" s="107"/>
      <c r="C427" s="107"/>
      <c r="D427" s="107"/>
    </row>
    <row r="428" spans="1:4" x14ac:dyDescent="0.25">
      <c r="A428" s="107"/>
      <c r="B428" s="107"/>
      <c r="C428" s="107"/>
      <c r="D428" s="107"/>
    </row>
    <row r="429" spans="1:4" x14ac:dyDescent="0.25">
      <c r="A429" s="107"/>
      <c r="B429" s="107"/>
      <c r="C429" s="107"/>
      <c r="D429" s="107"/>
    </row>
    <row r="430" spans="1:4" x14ac:dyDescent="0.25">
      <c r="A430" s="107"/>
      <c r="B430" s="107"/>
      <c r="C430" s="107"/>
      <c r="D430" s="107"/>
    </row>
    <row r="431" spans="1:4" x14ac:dyDescent="0.25">
      <c r="A431" s="107"/>
      <c r="B431" s="107"/>
      <c r="C431" s="107"/>
      <c r="D431" s="107"/>
    </row>
    <row r="432" spans="1:4" x14ac:dyDescent="0.25">
      <c r="A432" s="107"/>
      <c r="B432" s="107"/>
      <c r="C432" s="107"/>
      <c r="D432" s="107"/>
    </row>
    <row r="433" spans="1:4" x14ac:dyDescent="0.25">
      <c r="A433" s="107"/>
      <c r="B433" s="107"/>
      <c r="C433" s="107"/>
      <c r="D433" s="107"/>
    </row>
    <row r="434" spans="1:4" x14ac:dyDescent="0.25">
      <c r="A434" s="107"/>
      <c r="B434" s="107"/>
      <c r="C434" s="107"/>
      <c r="D434" s="107"/>
    </row>
    <row r="435" spans="1:4" x14ac:dyDescent="0.25">
      <c r="A435" s="107"/>
      <c r="B435" s="107"/>
      <c r="C435" s="107"/>
      <c r="D435" s="107"/>
    </row>
    <row r="436" spans="1:4" x14ac:dyDescent="0.25">
      <c r="A436" s="107"/>
      <c r="B436" s="107"/>
      <c r="C436" s="107"/>
      <c r="D436" s="107"/>
    </row>
    <row r="437" spans="1:4" x14ac:dyDescent="0.25">
      <c r="A437" s="107"/>
      <c r="B437" s="107"/>
      <c r="C437" s="107"/>
      <c r="D437" s="107"/>
    </row>
    <row r="438" spans="1:4" x14ac:dyDescent="0.25">
      <c r="A438" s="107"/>
      <c r="B438" s="107"/>
      <c r="C438" s="107"/>
      <c r="D438" s="107"/>
    </row>
    <row r="439" spans="1:4" x14ac:dyDescent="0.25">
      <c r="A439" s="107"/>
      <c r="B439" s="107"/>
      <c r="C439" s="107"/>
      <c r="D439" s="107"/>
    </row>
    <row r="440" spans="1:4" x14ac:dyDescent="0.25">
      <c r="A440" s="107"/>
      <c r="B440" s="107"/>
      <c r="C440" s="107"/>
      <c r="D440" s="107"/>
    </row>
    <row r="441" spans="1:4" x14ac:dyDescent="0.25">
      <c r="A441" s="107"/>
      <c r="B441" s="107"/>
      <c r="C441" s="107"/>
      <c r="D441" s="107"/>
    </row>
    <row r="442" spans="1:4" x14ac:dyDescent="0.25">
      <c r="A442" s="107"/>
      <c r="B442" s="107"/>
      <c r="C442" s="107"/>
      <c r="D442" s="107"/>
    </row>
    <row r="443" spans="1:4" x14ac:dyDescent="0.25">
      <c r="A443" s="107"/>
      <c r="B443" s="107"/>
      <c r="C443" s="107"/>
      <c r="D443" s="107"/>
    </row>
    <row r="444" spans="1:4" x14ac:dyDescent="0.25">
      <c r="A444" s="107"/>
      <c r="B444" s="107"/>
      <c r="C444" s="107"/>
      <c r="D444" s="107"/>
    </row>
    <row r="445" spans="1:4" x14ac:dyDescent="0.25">
      <c r="A445" s="107"/>
      <c r="B445" s="107"/>
      <c r="C445" s="107"/>
      <c r="D445" s="107"/>
    </row>
    <row r="446" spans="1:4" x14ac:dyDescent="0.25">
      <c r="A446" s="107"/>
      <c r="B446" s="107"/>
      <c r="C446" s="107"/>
      <c r="D446" s="107"/>
    </row>
    <row r="447" spans="1:4" x14ac:dyDescent="0.25">
      <c r="A447" s="107"/>
      <c r="B447" s="107"/>
      <c r="C447" s="107"/>
      <c r="D447" s="107"/>
    </row>
    <row r="448" spans="1:4" x14ac:dyDescent="0.25">
      <c r="A448" s="107"/>
      <c r="B448" s="107"/>
      <c r="C448" s="107"/>
      <c r="D448" s="107"/>
    </row>
    <row r="449" spans="1:4" x14ac:dyDescent="0.25">
      <c r="A449" s="107"/>
      <c r="B449" s="107"/>
      <c r="C449" s="107"/>
      <c r="D449" s="107"/>
    </row>
    <row r="450" spans="1:4" x14ac:dyDescent="0.25">
      <c r="A450" s="107"/>
      <c r="B450" s="107"/>
      <c r="C450" s="107"/>
      <c r="D450" s="107"/>
    </row>
    <row r="451" spans="1:4" x14ac:dyDescent="0.25">
      <c r="A451" s="107"/>
      <c r="B451" s="107"/>
      <c r="C451" s="107"/>
      <c r="D451" s="107"/>
    </row>
    <row r="452" spans="1:4" x14ac:dyDescent="0.25">
      <c r="A452" s="107"/>
      <c r="B452" s="107"/>
      <c r="C452" s="107"/>
      <c r="D452" s="107"/>
    </row>
    <row r="453" spans="1:4" x14ac:dyDescent="0.25">
      <c r="A453" s="107"/>
      <c r="B453" s="107"/>
      <c r="C453" s="107"/>
      <c r="D453" s="107"/>
    </row>
    <row r="454" spans="1:4" x14ac:dyDescent="0.25">
      <c r="A454" s="107"/>
      <c r="B454" s="107"/>
      <c r="C454" s="107"/>
      <c r="D454" s="107"/>
    </row>
    <row r="455" spans="1:4" x14ac:dyDescent="0.25">
      <c r="A455" s="107"/>
      <c r="B455" s="107"/>
      <c r="C455" s="107"/>
      <c r="D455" s="107"/>
    </row>
    <row r="456" spans="1:4" x14ac:dyDescent="0.25">
      <c r="A456" s="107"/>
      <c r="B456" s="107"/>
      <c r="C456" s="107"/>
      <c r="D456" s="107"/>
    </row>
    <row r="457" spans="1:4" x14ac:dyDescent="0.25">
      <c r="A457" s="107"/>
      <c r="B457" s="107"/>
      <c r="C457" s="107"/>
      <c r="D457" s="107"/>
    </row>
    <row r="458" spans="1:4" x14ac:dyDescent="0.25">
      <c r="A458" s="107"/>
      <c r="B458" s="107"/>
      <c r="C458" s="107"/>
      <c r="D458" s="107"/>
    </row>
    <row r="459" spans="1:4" x14ac:dyDescent="0.25">
      <c r="A459" s="107"/>
      <c r="B459" s="107"/>
      <c r="C459" s="107"/>
      <c r="D459" s="107"/>
    </row>
    <row r="460" spans="1:4" x14ac:dyDescent="0.25">
      <c r="A460" s="107"/>
      <c r="B460" s="107"/>
      <c r="C460" s="107"/>
      <c r="D460" s="107"/>
    </row>
    <row r="461" spans="1:4" x14ac:dyDescent="0.25">
      <c r="A461" s="107"/>
      <c r="B461" s="107"/>
      <c r="C461" s="107"/>
      <c r="D461" s="107"/>
    </row>
    <row r="462" spans="1:4" x14ac:dyDescent="0.25">
      <c r="A462" s="107"/>
      <c r="B462" s="107"/>
      <c r="C462" s="107"/>
      <c r="D462" s="107"/>
    </row>
    <row r="463" spans="1:4" x14ac:dyDescent="0.25">
      <c r="A463" s="107"/>
      <c r="B463" s="107"/>
      <c r="C463" s="107"/>
      <c r="D463" s="107"/>
    </row>
    <row r="464" spans="1:4" x14ac:dyDescent="0.25">
      <c r="A464" s="107"/>
      <c r="B464" s="107"/>
      <c r="C464" s="107"/>
      <c r="D464" s="107"/>
    </row>
    <row r="465" spans="1:4" x14ac:dyDescent="0.25">
      <c r="A465" s="107"/>
      <c r="B465" s="107"/>
      <c r="C465" s="107"/>
      <c r="D465" s="107"/>
    </row>
    <row r="466" spans="1:4" x14ac:dyDescent="0.25">
      <c r="A466" s="107"/>
      <c r="B466" s="107"/>
      <c r="C466" s="107"/>
      <c r="D466" s="107"/>
    </row>
    <row r="467" spans="1:4" x14ac:dyDescent="0.25">
      <c r="A467" s="107"/>
      <c r="B467" s="107"/>
      <c r="C467" s="107"/>
      <c r="D467" s="107"/>
    </row>
    <row r="468" spans="1:4" x14ac:dyDescent="0.25">
      <c r="A468" s="107"/>
      <c r="B468" s="107"/>
      <c r="C468" s="107"/>
      <c r="D468" s="107"/>
    </row>
    <row r="469" spans="1:4" x14ac:dyDescent="0.25">
      <c r="A469" s="107"/>
      <c r="B469" s="107"/>
      <c r="C469" s="107"/>
      <c r="D469" s="107"/>
    </row>
    <row r="470" spans="1:4" x14ac:dyDescent="0.25">
      <c r="A470" s="107"/>
      <c r="B470" s="107"/>
      <c r="C470" s="107"/>
      <c r="D470" s="107"/>
    </row>
    <row r="471" spans="1:4" x14ac:dyDescent="0.25">
      <c r="A471" s="107"/>
      <c r="B471" s="107"/>
      <c r="C471" s="107"/>
      <c r="D471" s="107"/>
    </row>
    <row r="472" spans="1:4" x14ac:dyDescent="0.25">
      <c r="A472" s="107"/>
      <c r="B472" s="107"/>
      <c r="C472" s="107"/>
      <c r="D472" s="107"/>
    </row>
    <row r="473" spans="1:4" x14ac:dyDescent="0.25">
      <c r="A473" s="107"/>
      <c r="B473" s="107"/>
      <c r="C473" s="107"/>
      <c r="D473" s="107"/>
    </row>
    <row r="474" spans="1:4" x14ac:dyDescent="0.25">
      <c r="A474" s="107"/>
      <c r="B474" s="107"/>
      <c r="C474" s="107"/>
      <c r="D474" s="107"/>
    </row>
    <row r="475" spans="1:4" x14ac:dyDescent="0.25">
      <c r="A475" s="107"/>
      <c r="B475" s="107"/>
      <c r="C475" s="107"/>
      <c r="D475" s="107"/>
    </row>
    <row r="476" spans="1:4" x14ac:dyDescent="0.25">
      <c r="A476" s="107"/>
      <c r="B476" s="107"/>
      <c r="C476" s="107"/>
      <c r="D476" s="107"/>
    </row>
    <row r="477" spans="1:4" x14ac:dyDescent="0.25">
      <c r="A477" s="107"/>
      <c r="B477" s="107"/>
      <c r="C477" s="107"/>
      <c r="D477" s="107"/>
    </row>
    <row r="478" spans="1:4" x14ac:dyDescent="0.25">
      <c r="A478" s="107"/>
      <c r="B478" s="107"/>
      <c r="C478" s="107"/>
      <c r="D478" s="107"/>
    </row>
    <row r="479" spans="1:4" x14ac:dyDescent="0.25">
      <c r="A479" s="107"/>
      <c r="B479" s="107"/>
      <c r="C479" s="107"/>
      <c r="D479" s="107"/>
    </row>
    <row r="480" spans="1:4" x14ac:dyDescent="0.25">
      <c r="A480" s="107"/>
      <c r="B480" s="107"/>
      <c r="C480" s="107"/>
      <c r="D480" s="107"/>
    </row>
    <row r="481" spans="1:4" x14ac:dyDescent="0.25">
      <c r="A481" s="107"/>
      <c r="B481" s="107"/>
      <c r="C481" s="107"/>
      <c r="D481" s="107"/>
    </row>
    <row r="482" spans="1:4" x14ac:dyDescent="0.25">
      <c r="A482" s="107"/>
      <c r="B482" s="107"/>
      <c r="C482" s="107"/>
      <c r="D482" s="107"/>
    </row>
    <row r="483" spans="1:4" x14ac:dyDescent="0.25">
      <c r="A483" s="107"/>
      <c r="B483" s="107"/>
      <c r="C483" s="107"/>
      <c r="D483" s="107"/>
    </row>
    <row r="484" spans="1:4" x14ac:dyDescent="0.25">
      <c r="A484" s="107"/>
      <c r="B484" s="107"/>
      <c r="C484" s="107"/>
      <c r="D484" s="107"/>
    </row>
    <row r="485" spans="1:4" x14ac:dyDescent="0.25">
      <c r="A485" s="107"/>
      <c r="B485" s="107"/>
      <c r="C485" s="107"/>
      <c r="D485" s="107"/>
    </row>
    <row r="486" spans="1:4" x14ac:dyDescent="0.25">
      <c r="A486" s="107"/>
      <c r="B486" s="107"/>
      <c r="C486" s="107"/>
      <c r="D486" s="107"/>
    </row>
    <row r="487" spans="1:4" x14ac:dyDescent="0.25">
      <c r="A487" s="107"/>
      <c r="B487" s="107"/>
      <c r="C487" s="107"/>
      <c r="D487" s="107"/>
    </row>
    <row r="488" spans="1:4" x14ac:dyDescent="0.25">
      <c r="A488" s="107"/>
      <c r="B488" s="107"/>
      <c r="C488" s="107"/>
      <c r="D488" s="107"/>
    </row>
    <row r="489" spans="1:4" x14ac:dyDescent="0.25">
      <c r="A489" s="107"/>
      <c r="B489" s="107"/>
      <c r="C489" s="107"/>
      <c r="D489" s="107"/>
    </row>
    <row r="490" spans="1:4" x14ac:dyDescent="0.25">
      <c r="A490" s="107"/>
      <c r="B490" s="107"/>
      <c r="C490" s="107"/>
      <c r="D490" s="107"/>
    </row>
    <row r="491" spans="1:4" x14ac:dyDescent="0.25">
      <c r="A491" s="107"/>
      <c r="B491" s="107"/>
      <c r="C491" s="107"/>
      <c r="D491" s="107"/>
    </row>
    <row r="492" spans="1:4" x14ac:dyDescent="0.25">
      <c r="A492" s="107"/>
      <c r="B492" s="107"/>
      <c r="C492" s="107"/>
      <c r="D492" s="107"/>
    </row>
    <row r="493" spans="1:4" x14ac:dyDescent="0.25">
      <c r="A493" s="107"/>
      <c r="B493" s="107"/>
      <c r="C493" s="107"/>
      <c r="D493" s="107"/>
    </row>
    <row r="494" spans="1:4" x14ac:dyDescent="0.25">
      <c r="A494" s="107"/>
      <c r="B494" s="107"/>
      <c r="C494" s="107"/>
      <c r="D494" s="107"/>
    </row>
    <row r="495" spans="1:4" x14ac:dyDescent="0.25">
      <c r="A495" s="107"/>
      <c r="B495" s="107"/>
      <c r="C495" s="107"/>
      <c r="D495" s="107"/>
    </row>
    <row r="496" spans="1:4" x14ac:dyDescent="0.25">
      <c r="A496" s="107"/>
      <c r="B496" s="107"/>
      <c r="C496" s="107"/>
      <c r="D496" s="107"/>
    </row>
    <row r="497" spans="1:4" x14ac:dyDescent="0.25">
      <c r="A497" s="107"/>
      <c r="B497" s="107"/>
      <c r="C497" s="107"/>
      <c r="D497" s="107"/>
    </row>
    <row r="498" spans="1:4" x14ac:dyDescent="0.25">
      <c r="A498" s="107"/>
      <c r="B498" s="107"/>
      <c r="C498" s="107"/>
      <c r="D498" s="107"/>
    </row>
    <row r="499" spans="1:4" x14ac:dyDescent="0.25">
      <c r="A499" s="107"/>
      <c r="B499" s="107"/>
      <c r="C499" s="107"/>
      <c r="D499" s="107"/>
    </row>
    <row r="500" spans="1:4" x14ac:dyDescent="0.25">
      <c r="A500" s="107"/>
      <c r="B500" s="107"/>
      <c r="C500" s="107"/>
      <c r="D500" s="107"/>
    </row>
    <row r="501" spans="1:4" x14ac:dyDescent="0.25">
      <c r="A501" s="107"/>
      <c r="B501" s="107"/>
      <c r="C501" s="107"/>
      <c r="D501" s="107"/>
    </row>
    <row r="502" spans="1:4" x14ac:dyDescent="0.25">
      <c r="A502" s="107"/>
      <c r="B502" s="107"/>
      <c r="C502" s="107"/>
      <c r="D502" s="107"/>
    </row>
    <row r="503" spans="1:4" x14ac:dyDescent="0.25">
      <c r="A503" s="107"/>
      <c r="B503" s="107"/>
      <c r="C503" s="107"/>
      <c r="D503" s="107"/>
    </row>
    <row r="504" spans="1:4" x14ac:dyDescent="0.25">
      <c r="A504" s="107"/>
      <c r="B504" s="107"/>
      <c r="C504" s="107"/>
      <c r="D504" s="107"/>
    </row>
    <row r="505" spans="1:4" x14ac:dyDescent="0.25">
      <c r="A505" s="107"/>
      <c r="B505" s="107"/>
      <c r="C505" s="107"/>
      <c r="D505" s="107"/>
    </row>
    <row r="506" spans="1:4" x14ac:dyDescent="0.25">
      <c r="A506" s="107"/>
      <c r="B506" s="107"/>
      <c r="C506" s="107"/>
      <c r="D506" s="107"/>
    </row>
    <row r="507" spans="1:4" x14ac:dyDescent="0.25">
      <c r="A507" s="107"/>
      <c r="B507" s="107"/>
      <c r="C507" s="107"/>
      <c r="D507" s="107"/>
    </row>
    <row r="508" spans="1:4" x14ac:dyDescent="0.25">
      <c r="A508" s="107"/>
      <c r="B508" s="107"/>
      <c r="C508" s="107"/>
      <c r="D508" s="107"/>
    </row>
    <row r="509" spans="1:4" x14ac:dyDescent="0.25">
      <c r="A509" s="107"/>
      <c r="B509" s="107"/>
      <c r="C509" s="107"/>
      <c r="D509" s="107"/>
    </row>
    <row r="510" spans="1:4" x14ac:dyDescent="0.25">
      <c r="A510" s="107"/>
      <c r="B510" s="107"/>
      <c r="C510" s="107"/>
      <c r="D510" s="107"/>
    </row>
    <row r="511" spans="1:4" x14ac:dyDescent="0.25">
      <c r="A511" s="107"/>
      <c r="B511" s="107"/>
      <c r="C511" s="107"/>
      <c r="D511" s="107"/>
    </row>
    <row r="512" spans="1:4" x14ac:dyDescent="0.25">
      <c r="A512" s="107"/>
      <c r="B512" s="107"/>
      <c r="C512" s="107"/>
      <c r="D512" s="107"/>
    </row>
    <row r="513" spans="1:4" x14ac:dyDescent="0.25">
      <c r="A513" s="107"/>
      <c r="B513" s="107"/>
      <c r="C513" s="107"/>
      <c r="D513" s="107"/>
    </row>
    <row r="514" spans="1:4" x14ac:dyDescent="0.25">
      <c r="A514" s="107"/>
      <c r="B514" s="107"/>
      <c r="C514" s="107"/>
      <c r="D514" s="107"/>
    </row>
    <row r="515" spans="1:4" x14ac:dyDescent="0.25">
      <c r="A515" s="107"/>
      <c r="B515" s="107"/>
      <c r="C515" s="107"/>
      <c r="D515" s="107"/>
    </row>
    <row r="516" spans="1:4" x14ac:dyDescent="0.25">
      <c r="A516" s="107"/>
      <c r="B516" s="107"/>
      <c r="C516" s="107"/>
      <c r="D516" s="107"/>
    </row>
    <row r="517" spans="1:4" x14ac:dyDescent="0.25">
      <c r="A517" s="107"/>
      <c r="B517" s="107"/>
      <c r="C517" s="107"/>
      <c r="D517" s="107"/>
    </row>
    <row r="518" spans="1:4" x14ac:dyDescent="0.25">
      <c r="A518" s="107"/>
      <c r="B518" s="107"/>
      <c r="C518" s="107"/>
      <c r="D518" s="107"/>
    </row>
    <row r="519" spans="1:4" x14ac:dyDescent="0.25">
      <c r="A519" s="107"/>
      <c r="B519" s="107"/>
      <c r="C519" s="107"/>
      <c r="D519" s="107"/>
    </row>
    <row r="520" spans="1:4" x14ac:dyDescent="0.25">
      <c r="A520" s="107"/>
      <c r="B520" s="107"/>
      <c r="C520" s="107"/>
      <c r="D520" s="107"/>
    </row>
    <row r="521" spans="1:4" x14ac:dyDescent="0.25">
      <c r="A521" s="107"/>
      <c r="B521" s="107"/>
      <c r="C521" s="107"/>
      <c r="D521" s="107"/>
    </row>
    <row r="522" spans="1:4" x14ac:dyDescent="0.25">
      <c r="A522" s="107"/>
      <c r="B522" s="107"/>
      <c r="C522" s="107"/>
      <c r="D522" s="107"/>
    </row>
    <row r="523" spans="1:4" x14ac:dyDescent="0.25">
      <c r="A523" s="107"/>
      <c r="B523" s="107"/>
      <c r="C523" s="107"/>
      <c r="D523" s="107"/>
    </row>
    <row r="524" spans="1:4" x14ac:dyDescent="0.25">
      <c r="A524" s="107"/>
      <c r="B524" s="107"/>
      <c r="C524" s="107"/>
      <c r="D524" s="107"/>
    </row>
    <row r="525" spans="1:4" x14ac:dyDescent="0.25">
      <c r="A525" s="107"/>
      <c r="B525" s="107"/>
      <c r="C525" s="107"/>
      <c r="D525" s="107"/>
    </row>
    <row r="526" spans="1:4" x14ac:dyDescent="0.25">
      <c r="A526" s="107"/>
      <c r="B526" s="107"/>
      <c r="C526" s="107"/>
      <c r="D526" s="107"/>
    </row>
    <row r="527" spans="1:4" x14ac:dyDescent="0.25">
      <c r="A527" s="107"/>
      <c r="B527" s="107"/>
      <c r="C527" s="107"/>
      <c r="D527" s="107"/>
    </row>
    <row r="528" spans="1:4" x14ac:dyDescent="0.25">
      <c r="A528" s="107"/>
      <c r="B528" s="107"/>
      <c r="C528" s="107"/>
      <c r="D528" s="107"/>
    </row>
    <row r="529" spans="1:4" x14ac:dyDescent="0.25">
      <c r="A529" s="107"/>
      <c r="B529" s="107"/>
      <c r="C529" s="107"/>
      <c r="D529" s="107"/>
    </row>
    <row r="530" spans="1:4" x14ac:dyDescent="0.25">
      <c r="A530" s="107"/>
      <c r="B530" s="107"/>
      <c r="C530" s="107"/>
      <c r="D530" s="107"/>
    </row>
    <row r="531" spans="1:4" x14ac:dyDescent="0.25">
      <c r="A531" s="107"/>
      <c r="B531" s="107"/>
      <c r="C531" s="107"/>
      <c r="D531" s="107"/>
    </row>
    <row r="532" spans="1:4" x14ac:dyDescent="0.25">
      <c r="A532" s="107"/>
      <c r="B532" s="107"/>
      <c r="C532" s="107"/>
      <c r="D532" s="107"/>
    </row>
    <row r="533" spans="1:4" x14ac:dyDescent="0.25">
      <c r="A533" s="107"/>
      <c r="B533" s="107"/>
      <c r="C533" s="107"/>
      <c r="D533" s="107"/>
    </row>
    <row r="534" spans="1:4" x14ac:dyDescent="0.25">
      <c r="A534" s="107"/>
      <c r="B534" s="107"/>
      <c r="C534" s="107"/>
      <c r="D534" s="107"/>
    </row>
    <row r="535" spans="1:4" x14ac:dyDescent="0.25">
      <c r="A535" s="107"/>
      <c r="B535" s="107"/>
      <c r="C535" s="107"/>
      <c r="D535" s="107"/>
    </row>
    <row r="536" spans="1:4" x14ac:dyDescent="0.25">
      <c r="A536" s="107"/>
      <c r="B536" s="107"/>
      <c r="C536" s="107"/>
      <c r="D536" s="107"/>
    </row>
    <row r="537" spans="1:4" x14ac:dyDescent="0.25">
      <c r="A537" s="107"/>
      <c r="B537" s="107"/>
      <c r="C537" s="107"/>
      <c r="D537" s="107"/>
    </row>
    <row r="538" spans="1:4" x14ac:dyDescent="0.25">
      <c r="A538" s="107"/>
      <c r="B538" s="107"/>
      <c r="C538" s="107"/>
      <c r="D538" s="107"/>
    </row>
    <row r="539" spans="1:4" x14ac:dyDescent="0.25">
      <c r="A539" s="107"/>
      <c r="B539" s="107"/>
      <c r="C539" s="107"/>
      <c r="D539" s="107"/>
    </row>
    <row r="540" spans="1:4" x14ac:dyDescent="0.25">
      <c r="A540" s="107"/>
      <c r="B540" s="107"/>
      <c r="C540" s="107"/>
      <c r="D540" s="107"/>
    </row>
    <row r="541" spans="1:4" x14ac:dyDescent="0.25">
      <c r="A541" s="107"/>
      <c r="B541" s="107"/>
      <c r="C541" s="107"/>
      <c r="D541" s="107"/>
    </row>
    <row r="542" spans="1:4" x14ac:dyDescent="0.25">
      <c r="A542" s="107"/>
      <c r="B542" s="107"/>
      <c r="C542" s="107"/>
      <c r="D542" s="107"/>
    </row>
    <row r="543" spans="1:4" x14ac:dyDescent="0.25">
      <c r="A543" s="107"/>
      <c r="B543" s="107"/>
      <c r="C543" s="107"/>
      <c r="D543" s="107"/>
    </row>
    <row r="544" spans="1:4" x14ac:dyDescent="0.25">
      <c r="A544" s="107"/>
      <c r="B544" s="107"/>
      <c r="C544" s="107"/>
      <c r="D544" s="107"/>
    </row>
    <row r="545" spans="1:4" x14ac:dyDescent="0.25">
      <c r="A545" s="107"/>
      <c r="B545" s="107"/>
      <c r="C545" s="107"/>
      <c r="D545" s="107"/>
    </row>
    <row r="546" spans="1:4" x14ac:dyDescent="0.25">
      <c r="A546" s="107"/>
      <c r="B546" s="107"/>
      <c r="C546" s="107"/>
      <c r="D546" s="107"/>
    </row>
    <row r="547" spans="1:4" x14ac:dyDescent="0.25">
      <c r="A547" s="107"/>
      <c r="B547" s="107"/>
      <c r="C547" s="107"/>
      <c r="D547" s="107"/>
    </row>
    <row r="548" spans="1:4" x14ac:dyDescent="0.25">
      <c r="A548" s="107"/>
      <c r="B548" s="107"/>
      <c r="C548" s="107"/>
      <c r="D548" s="107"/>
    </row>
    <row r="549" spans="1:4" x14ac:dyDescent="0.25">
      <c r="A549" s="107"/>
      <c r="B549" s="107"/>
      <c r="C549" s="107"/>
      <c r="D549" s="107"/>
    </row>
    <row r="550" spans="1:4" x14ac:dyDescent="0.25">
      <c r="A550" s="107"/>
      <c r="B550" s="107"/>
      <c r="C550" s="107"/>
      <c r="D550" s="107"/>
    </row>
    <row r="551" spans="1:4" x14ac:dyDescent="0.25">
      <c r="A551" s="107"/>
      <c r="B551" s="107"/>
      <c r="C551" s="107"/>
      <c r="D551" s="107"/>
    </row>
    <row r="552" spans="1:4" x14ac:dyDescent="0.25">
      <c r="A552" s="107"/>
      <c r="B552" s="107"/>
      <c r="C552" s="107"/>
      <c r="D552" s="107"/>
    </row>
    <row r="553" spans="1:4" x14ac:dyDescent="0.25">
      <c r="A553" s="107"/>
      <c r="B553" s="107"/>
      <c r="C553" s="107"/>
      <c r="D553" s="107"/>
    </row>
    <row r="554" spans="1:4" x14ac:dyDescent="0.25">
      <c r="A554" s="107"/>
      <c r="B554" s="107"/>
      <c r="C554" s="107"/>
      <c r="D554" s="107"/>
    </row>
    <row r="555" spans="1:4" x14ac:dyDescent="0.25">
      <c r="A555" s="107"/>
      <c r="B555" s="107"/>
      <c r="C555" s="107"/>
      <c r="D555" s="107"/>
    </row>
    <row r="556" spans="1:4" x14ac:dyDescent="0.25">
      <c r="A556" s="107"/>
      <c r="B556" s="107"/>
      <c r="C556" s="107"/>
      <c r="D556" s="107"/>
    </row>
    <row r="557" spans="1:4" x14ac:dyDescent="0.25">
      <c r="A557" s="107"/>
      <c r="B557" s="107"/>
      <c r="C557" s="107"/>
      <c r="D557" s="107"/>
    </row>
    <row r="558" spans="1:4" x14ac:dyDescent="0.25">
      <c r="A558" s="107"/>
      <c r="B558" s="107"/>
      <c r="C558" s="107"/>
      <c r="D558" s="107"/>
    </row>
    <row r="559" spans="1:4" x14ac:dyDescent="0.25">
      <c r="A559" s="107"/>
      <c r="B559" s="107"/>
      <c r="C559" s="107"/>
      <c r="D559" s="107"/>
    </row>
    <row r="560" spans="1:4" x14ac:dyDescent="0.25">
      <c r="A560" s="107"/>
      <c r="B560" s="107"/>
      <c r="C560" s="107"/>
      <c r="D560" s="107"/>
    </row>
    <row r="561" spans="1:4" x14ac:dyDescent="0.25">
      <c r="A561" s="107"/>
      <c r="B561" s="107"/>
      <c r="C561" s="107"/>
      <c r="D561" s="107"/>
    </row>
    <row r="562" spans="1:4" x14ac:dyDescent="0.25">
      <c r="A562" s="107"/>
      <c r="B562" s="107"/>
      <c r="C562" s="107"/>
      <c r="D562" s="107"/>
    </row>
    <row r="563" spans="1:4" x14ac:dyDescent="0.25">
      <c r="A563" s="107"/>
      <c r="B563" s="107"/>
      <c r="C563" s="107"/>
      <c r="D563" s="107"/>
    </row>
    <row r="564" spans="1:4" x14ac:dyDescent="0.25">
      <c r="A564" s="107"/>
      <c r="B564" s="107"/>
      <c r="C564" s="107"/>
      <c r="D564" s="107"/>
    </row>
    <row r="565" spans="1:4" x14ac:dyDescent="0.25">
      <c r="A565" s="107"/>
      <c r="B565" s="107"/>
      <c r="C565" s="107"/>
      <c r="D565" s="107"/>
    </row>
    <row r="566" spans="1:4" x14ac:dyDescent="0.25">
      <c r="A566" s="107"/>
      <c r="B566" s="107"/>
      <c r="C566" s="107"/>
      <c r="D566" s="107"/>
    </row>
    <row r="567" spans="1:4" x14ac:dyDescent="0.25">
      <c r="A567" s="107"/>
      <c r="B567" s="107"/>
      <c r="C567" s="107"/>
      <c r="D567" s="107"/>
    </row>
    <row r="568" spans="1:4" x14ac:dyDescent="0.25">
      <c r="A568" s="107"/>
      <c r="B568" s="107"/>
      <c r="C568" s="107"/>
      <c r="D568" s="107"/>
    </row>
    <row r="569" spans="1:4" x14ac:dyDescent="0.25">
      <c r="A569" s="107"/>
      <c r="B569" s="107"/>
      <c r="C569" s="107"/>
      <c r="D569" s="107"/>
    </row>
    <row r="570" spans="1:4" x14ac:dyDescent="0.25">
      <c r="A570" s="107"/>
      <c r="B570" s="107"/>
      <c r="C570" s="107"/>
      <c r="D570" s="107"/>
    </row>
    <row r="571" spans="1:4" x14ac:dyDescent="0.25">
      <c r="A571" s="107"/>
      <c r="B571" s="107"/>
      <c r="C571" s="107"/>
      <c r="D571" s="107"/>
    </row>
    <row r="572" spans="1:4" x14ac:dyDescent="0.25">
      <c r="A572" s="107"/>
      <c r="B572" s="107"/>
      <c r="C572" s="107"/>
      <c r="D572" s="107"/>
    </row>
    <row r="573" spans="1:4" x14ac:dyDescent="0.25">
      <c r="A573" s="107"/>
      <c r="B573" s="107"/>
      <c r="C573" s="107"/>
      <c r="D573" s="107"/>
    </row>
    <row r="574" spans="1:4" x14ac:dyDescent="0.25">
      <c r="A574" s="107"/>
      <c r="B574" s="107"/>
      <c r="C574" s="107"/>
      <c r="D574" s="107"/>
    </row>
    <row r="575" spans="1:4" x14ac:dyDescent="0.25">
      <c r="A575" s="107"/>
      <c r="B575" s="107"/>
      <c r="C575" s="107"/>
      <c r="D575" s="107"/>
    </row>
    <row r="576" spans="1:4" x14ac:dyDescent="0.25">
      <c r="A576" s="107"/>
      <c r="B576" s="107"/>
      <c r="C576" s="107"/>
      <c r="D576" s="107"/>
    </row>
    <row r="577" spans="1:4" x14ac:dyDescent="0.25">
      <c r="A577" s="107"/>
      <c r="B577" s="107"/>
      <c r="C577" s="107"/>
      <c r="D577" s="107"/>
    </row>
    <row r="578" spans="1:4" x14ac:dyDescent="0.25">
      <c r="A578" s="107"/>
      <c r="B578" s="107"/>
      <c r="C578" s="107"/>
      <c r="D578" s="107"/>
    </row>
    <row r="579" spans="1:4" x14ac:dyDescent="0.25">
      <c r="A579" s="107"/>
      <c r="B579" s="107"/>
      <c r="C579" s="107"/>
      <c r="D579" s="107"/>
    </row>
    <row r="580" spans="1:4" x14ac:dyDescent="0.25">
      <c r="A580" s="107"/>
      <c r="B580" s="107"/>
      <c r="C580" s="107"/>
      <c r="D580" s="107"/>
    </row>
    <row r="581" spans="1:4" x14ac:dyDescent="0.25">
      <c r="A581" s="107"/>
      <c r="B581" s="107"/>
      <c r="C581" s="107"/>
      <c r="D581" s="107"/>
    </row>
    <row r="582" spans="1:4" x14ac:dyDescent="0.25">
      <c r="A582" s="107"/>
      <c r="B582" s="107"/>
      <c r="C582" s="107"/>
      <c r="D582" s="107"/>
    </row>
    <row r="583" spans="1:4" x14ac:dyDescent="0.25">
      <c r="A583" s="107"/>
      <c r="B583" s="107"/>
      <c r="C583" s="107"/>
      <c r="D583" s="107"/>
    </row>
    <row r="584" spans="1:4" x14ac:dyDescent="0.25">
      <c r="A584" s="107"/>
      <c r="B584" s="107"/>
      <c r="C584" s="107"/>
      <c r="D584" s="107"/>
    </row>
    <row r="585" spans="1:4" x14ac:dyDescent="0.25">
      <c r="A585" s="107"/>
      <c r="B585" s="107"/>
      <c r="C585" s="107"/>
      <c r="D585" s="107"/>
    </row>
    <row r="586" spans="1:4" x14ac:dyDescent="0.25">
      <c r="A586" s="107"/>
      <c r="B586" s="107"/>
      <c r="C586" s="107"/>
      <c r="D586" s="107"/>
    </row>
    <row r="587" spans="1:4" x14ac:dyDescent="0.25">
      <c r="A587" s="107"/>
      <c r="B587" s="107"/>
      <c r="C587" s="107"/>
      <c r="D587" s="107"/>
    </row>
    <row r="588" spans="1:4" x14ac:dyDescent="0.25">
      <c r="A588" s="107"/>
      <c r="B588" s="107"/>
      <c r="C588" s="107"/>
      <c r="D588" s="107"/>
    </row>
    <row r="589" spans="1:4" x14ac:dyDescent="0.25">
      <c r="A589" s="107"/>
      <c r="B589" s="107"/>
      <c r="C589" s="107"/>
      <c r="D589" s="107"/>
    </row>
    <row r="590" spans="1:4" x14ac:dyDescent="0.25">
      <c r="A590" s="107"/>
      <c r="B590" s="107"/>
      <c r="C590" s="107"/>
      <c r="D590" s="107"/>
    </row>
    <row r="591" spans="1:4" x14ac:dyDescent="0.25">
      <c r="A591" s="107"/>
      <c r="B591" s="107"/>
      <c r="C591" s="107"/>
      <c r="D591" s="107"/>
    </row>
    <row r="592" spans="1:4" x14ac:dyDescent="0.25">
      <c r="A592" s="107"/>
      <c r="B592" s="107"/>
      <c r="C592" s="107"/>
      <c r="D592" s="107"/>
    </row>
    <row r="593" spans="1:4" x14ac:dyDescent="0.25">
      <c r="A593" s="107"/>
      <c r="B593" s="107"/>
      <c r="C593" s="107"/>
      <c r="D593" s="107"/>
    </row>
    <row r="594" spans="1:4" x14ac:dyDescent="0.25">
      <c r="A594" s="107"/>
      <c r="B594" s="107"/>
      <c r="C594" s="107"/>
      <c r="D594" s="107"/>
    </row>
    <row r="595" spans="1:4" x14ac:dyDescent="0.25">
      <c r="A595" s="107"/>
      <c r="B595" s="107"/>
      <c r="C595" s="107"/>
      <c r="D595" s="107"/>
    </row>
    <row r="596" spans="1:4" x14ac:dyDescent="0.25">
      <c r="A596" s="107"/>
      <c r="B596" s="107"/>
      <c r="C596" s="107"/>
      <c r="D596" s="107"/>
    </row>
    <row r="597" spans="1:4" x14ac:dyDescent="0.25">
      <c r="A597" s="107"/>
      <c r="B597" s="107"/>
      <c r="C597" s="107"/>
      <c r="D597" s="107"/>
    </row>
    <row r="598" spans="1:4" x14ac:dyDescent="0.25">
      <c r="A598" s="107"/>
      <c r="B598" s="107"/>
      <c r="C598" s="107"/>
      <c r="D598" s="107"/>
    </row>
    <row r="599" spans="1:4" x14ac:dyDescent="0.25">
      <c r="A599" s="107"/>
      <c r="B599" s="107"/>
      <c r="C599" s="107"/>
      <c r="D599" s="107"/>
    </row>
    <row r="600" spans="1:4" x14ac:dyDescent="0.25">
      <c r="A600" s="107"/>
      <c r="B600" s="107"/>
      <c r="C600" s="107"/>
      <c r="D600" s="107"/>
    </row>
    <row r="601" spans="1:4" x14ac:dyDescent="0.25">
      <c r="A601" s="107"/>
      <c r="B601" s="107"/>
      <c r="C601" s="107"/>
      <c r="D601" s="107"/>
    </row>
    <row r="602" spans="1:4" x14ac:dyDescent="0.25">
      <c r="A602" s="107"/>
      <c r="B602" s="107"/>
      <c r="C602" s="107"/>
      <c r="D602" s="107"/>
    </row>
    <row r="603" spans="1:4" x14ac:dyDescent="0.25">
      <c r="A603" s="107"/>
      <c r="B603" s="107"/>
      <c r="C603" s="107"/>
      <c r="D603" s="107"/>
    </row>
    <row r="604" spans="1:4" x14ac:dyDescent="0.25">
      <c r="A604" s="107"/>
      <c r="B604" s="107"/>
      <c r="C604" s="107"/>
      <c r="D604" s="107"/>
    </row>
    <row r="605" spans="1:4" x14ac:dyDescent="0.25">
      <c r="A605" s="107"/>
      <c r="B605" s="107"/>
      <c r="C605" s="107"/>
      <c r="D605" s="107"/>
    </row>
    <row r="606" spans="1:4" x14ac:dyDescent="0.25">
      <c r="A606" s="107"/>
      <c r="B606" s="107"/>
      <c r="C606" s="107"/>
      <c r="D606" s="107"/>
    </row>
    <row r="607" spans="1:4" x14ac:dyDescent="0.25">
      <c r="A607" s="107"/>
      <c r="B607" s="107"/>
      <c r="C607" s="107"/>
      <c r="D607" s="107"/>
    </row>
    <row r="608" spans="1:4" x14ac:dyDescent="0.25">
      <c r="A608" s="107"/>
      <c r="B608" s="107"/>
      <c r="C608" s="107"/>
      <c r="D608" s="107"/>
    </row>
    <row r="609" spans="1:4" x14ac:dyDescent="0.25">
      <c r="A609" s="107"/>
      <c r="B609" s="107"/>
      <c r="C609" s="107"/>
      <c r="D609" s="107"/>
    </row>
    <row r="610" spans="1:4" x14ac:dyDescent="0.25">
      <c r="A610" s="107"/>
      <c r="B610" s="107"/>
      <c r="C610" s="107"/>
      <c r="D610" s="107"/>
    </row>
    <row r="611" spans="1:4" x14ac:dyDescent="0.25">
      <c r="A611" s="107"/>
      <c r="B611" s="107"/>
      <c r="C611" s="107"/>
      <c r="D611" s="107"/>
    </row>
    <row r="612" spans="1:4" x14ac:dyDescent="0.25">
      <c r="A612" s="107"/>
      <c r="B612" s="107"/>
      <c r="C612" s="107"/>
      <c r="D612" s="107"/>
    </row>
    <row r="613" spans="1:4" x14ac:dyDescent="0.25">
      <c r="A613" s="107"/>
      <c r="B613" s="107"/>
      <c r="C613" s="107"/>
      <c r="D613" s="107"/>
    </row>
    <row r="614" spans="1:4" x14ac:dyDescent="0.25">
      <c r="A614" s="107"/>
      <c r="B614" s="107"/>
      <c r="C614" s="107"/>
      <c r="D614" s="107"/>
    </row>
    <row r="615" spans="1:4" x14ac:dyDescent="0.25">
      <c r="A615" s="107"/>
      <c r="B615" s="107"/>
      <c r="C615" s="107"/>
      <c r="D615" s="107"/>
    </row>
    <row r="616" spans="1:4" x14ac:dyDescent="0.25">
      <c r="A616" s="107"/>
      <c r="B616" s="107"/>
      <c r="C616" s="107"/>
      <c r="D616" s="107"/>
    </row>
    <row r="617" spans="1:4" x14ac:dyDescent="0.25">
      <c r="A617" s="107"/>
      <c r="B617" s="107"/>
      <c r="C617" s="107"/>
      <c r="D617" s="107"/>
    </row>
    <row r="618" spans="1:4" x14ac:dyDescent="0.25">
      <c r="A618" s="107"/>
      <c r="B618" s="107"/>
      <c r="C618" s="107"/>
      <c r="D618" s="107"/>
    </row>
    <row r="619" spans="1:4" x14ac:dyDescent="0.25">
      <c r="A619" s="107"/>
      <c r="B619" s="107"/>
      <c r="C619" s="107"/>
      <c r="D619" s="107"/>
    </row>
    <row r="620" spans="1:4" x14ac:dyDescent="0.25">
      <c r="A620" s="107"/>
      <c r="B620" s="107"/>
      <c r="C620" s="107"/>
      <c r="D620" s="107"/>
    </row>
    <row r="621" spans="1:4" x14ac:dyDescent="0.25">
      <c r="A621" s="107"/>
      <c r="B621" s="107"/>
      <c r="C621" s="107"/>
      <c r="D621" s="107"/>
    </row>
    <row r="622" spans="1:4" x14ac:dyDescent="0.25">
      <c r="A622" s="107"/>
      <c r="B622" s="107"/>
      <c r="C622" s="107"/>
      <c r="D622" s="107"/>
    </row>
    <row r="623" spans="1:4" x14ac:dyDescent="0.25">
      <c r="A623" s="107"/>
      <c r="B623" s="107"/>
      <c r="C623" s="107"/>
      <c r="D623" s="107"/>
    </row>
    <row r="624" spans="1:4" x14ac:dyDescent="0.25">
      <c r="A624" s="107"/>
      <c r="B624" s="107"/>
      <c r="C624" s="107"/>
      <c r="D624" s="107"/>
    </row>
    <row r="625" spans="1:4" x14ac:dyDescent="0.25">
      <c r="A625" s="107"/>
      <c r="B625" s="107"/>
      <c r="C625" s="107"/>
      <c r="D625" s="107"/>
    </row>
    <row r="626" spans="1:4" x14ac:dyDescent="0.25">
      <c r="A626" s="107"/>
      <c r="B626" s="107"/>
      <c r="C626" s="107"/>
      <c r="D626" s="107"/>
    </row>
    <row r="627" spans="1:4" x14ac:dyDescent="0.25">
      <c r="A627" s="107"/>
      <c r="B627" s="107"/>
      <c r="C627" s="107"/>
      <c r="D627" s="107"/>
    </row>
    <row r="628" spans="1:4" x14ac:dyDescent="0.25">
      <c r="A628" s="107"/>
      <c r="B628" s="107"/>
      <c r="C628" s="107"/>
      <c r="D628" s="107"/>
    </row>
    <row r="629" spans="1:4" x14ac:dyDescent="0.25">
      <c r="A629" s="107"/>
      <c r="B629" s="107"/>
      <c r="C629" s="107"/>
      <c r="D629" s="107"/>
    </row>
    <row r="630" spans="1:4" x14ac:dyDescent="0.25">
      <c r="A630" s="107"/>
      <c r="B630" s="107"/>
      <c r="C630" s="107"/>
      <c r="D630" s="107"/>
    </row>
    <row r="631" spans="1:4" x14ac:dyDescent="0.25">
      <c r="A631" s="107"/>
      <c r="B631" s="107"/>
      <c r="C631" s="107"/>
      <c r="D631" s="107"/>
    </row>
    <row r="632" spans="1:4" x14ac:dyDescent="0.25">
      <c r="A632" s="107"/>
      <c r="B632" s="107"/>
      <c r="C632" s="107"/>
      <c r="D632" s="107"/>
    </row>
    <row r="633" spans="1:4" x14ac:dyDescent="0.25">
      <c r="A633" s="107"/>
      <c r="B633" s="107"/>
      <c r="C633" s="107"/>
      <c r="D633" s="107"/>
    </row>
    <row r="634" spans="1:4" x14ac:dyDescent="0.25">
      <c r="A634" s="107"/>
      <c r="B634" s="107"/>
      <c r="C634" s="107"/>
      <c r="D634" s="107"/>
    </row>
    <row r="635" spans="1:4" x14ac:dyDescent="0.25">
      <c r="A635" s="107"/>
      <c r="B635" s="107"/>
      <c r="C635" s="107"/>
      <c r="D635" s="107"/>
    </row>
    <row r="636" spans="1:4" x14ac:dyDescent="0.25">
      <c r="A636" s="107"/>
      <c r="B636" s="107"/>
      <c r="C636" s="107"/>
      <c r="D636" s="107"/>
    </row>
    <row r="637" spans="1:4" x14ac:dyDescent="0.25">
      <c r="A637" s="107"/>
      <c r="B637" s="107"/>
      <c r="C637" s="107"/>
      <c r="D637" s="107"/>
    </row>
    <row r="638" spans="1:4" x14ac:dyDescent="0.25">
      <c r="A638" s="107"/>
      <c r="B638" s="107"/>
      <c r="C638" s="107"/>
      <c r="D638" s="107"/>
    </row>
    <row r="639" spans="1:4" x14ac:dyDescent="0.25">
      <c r="A639" s="107"/>
      <c r="B639" s="107"/>
      <c r="C639" s="107"/>
      <c r="D639" s="107"/>
    </row>
    <row r="640" spans="1:4" x14ac:dyDescent="0.25">
      <c r="A640" s="107"/>
      <c r="B640" s="107"/>
      <c r="C640" s="107"/>
      <c r="D640" s="107"/>
    </row>
    <row r="641" spans="1:4" x14ac:dyDescent="0.25">
      <c r="A641" s="107"/>
      <c r="B641" s="107"/>
      <c r="C641" s="107"/>
      <c r="D641" s="107"/>
    </row>
    <row r="642" spans="1:4" x14ac:dyDescent="0.25">
      <c r="A642" s="107"/>
      <c r="B642" s="107"/>
      <c r="C642" s="107"/>
      <c r="D642" s="107"/>
    </row>
    <row r="643" spans="1:4" x14ac:dyDescent="0.25">
      <c r="A643" s="107"/>
      <c r="B643" s="107"/>
      <c r="C643" s="107"/>
      <c r="D643" s="107"/>
    </row>
    <row r="644" spans="1:4" x14ac:dyDescent="0.25">
      <c r="A644" s="107"/>
      <c r="B644" s="107"/>
      <c r="C644" s="107"/>
      <c r="D644" s="107"/>
    </row>
    <row r="645" spans="1:4" x14ac:dyDescent="0.25">
      <c r="A645" s="107"/>
      <c r="B645" s="107"/>
      <c r="C645" s="107"/>
      <c r="D645" s="107"/>
    </row>
    <row r="646" spans="1:4" x14ac:dyDescent="0.25">
      <c r="A646" s="107"/>
      <c r="B646" s="107"/>
      <c r="C646" s="107"/>
      <c r="D646" s="107"/>
    </row>
    <row r="647" spans="1:4" x14ac:dyDescent="0.25">
      <c r="A647" s="107"/>
      <c r="B647" s="107"/>
      <c r="C647" s="107"/>
      <c r="D647" s="107"/>
    </row>
    <row r="648" spans="1:4" x14ac:dyDescent="0.25">
      <c r="A648" s="107"/>
      <c r="B648" s="107"/>
      <c r="C648" s="107"/>
      <c r="D648" s="107"/>
    </row>
    <row r="649" spans="1:4" x14ac:dyDescent="0.25">
      <c r="A649" s="107"/>
      <c r="B649" s="107"/>
      <c r="C649" s="107"/>
      <c r="D649" s="107"/>
    </row>
    <row r="650" spans="1:4" x14ac:dyDescent="0.25">
      <c r="A650" s="107"/>
      <c r="B650" s="107"/>
      <c r="C650" s="107"/>
      <c r="D650" s="107"/>
    </row>
    <row r="651" spans="1:4" x14ac:dyDescent="0.25">
      <c r="A651" s="107"/>
      <c r="B651" s="107"/>
      <c r="C651" s="107"/>
      <c r="D651" s="107"/>
    </row>
    <row r="652" spans="1:4" x14ac:dyDescent="0.25">
      <c r="A652" s="107"/>
      <c r="B652" s="107"/>
      <c r="C652" s="107"/>
      <c r="D652" s="107"/>
    </row>
    <row r="653" spans="1:4" x14ac:dyDescent="0.25">
      <c r="A653" s="107"/>
      <c r="B653" s="107"/>
      <c r="C653" s="107"/>
      <c r="D653" s="107"/>
    </row>
    <row r="654" spans="1:4" x14ac:dyDescent="0.25">
      <c r="A654" s="107"/>
      <c r="B654" s="107"/>
      <c r="C654" s="107"/>
      <c r="D654" s="107"/>
    </row>
    <row r="655" spans="1:4" x14ac:dyDescent="0.25">
      <c r="A655" s="107"/>
      <c r="B655" s="107"/>
      <c r="C655" s="107"/>
      <c r="D655" s="107"/>
    </row>
    <row r="656" spans="1:4" x14ac:dyDescent="0.25">
      <c r="A656" s="107"/>
      <c r="B656" s="107"/>
      <c r="C656" s="107"/>
      <c r="D656" s="107"/>
    </row>
    <row r="657" spans="1:4" x14ac:dyDescent="0.25">
      <c r="A657" s="107"/>
      <c r="B657" s="107"/>
      <c r="C657" s="107"/>
      <c r="D657" s="107"/>
    </row>
    <row r="658" spans="1:4" x14ac:dyDescent="0.25">
      <c r="A658" s="107"/>
      <c r="B658" s="107"/>
      <c r="C658" s="107"/>
      <c r="D658" s="107"/>
    </row>
    <row r="659" spans="1:4" x14ac:dyDescent="0.25">
      <c r="A659" s="107"/>
      <c r="B659" s="107"/>
      <c r="C659" s="107"/>
      <c r="D659" s="107"/>
    </row>
    <row r="660" spans="1:4" x14ac:dyDescent="0.25">
      <c r="A660" s="107"/>
      <c r="B660" s="107"/>
      <c r="C660" s="107"/>
      <c r="D660" s="107"/>
    </row>
    <row r="661" spans="1:4" x14ac:dyDescent="0.25">
      <c r="A661" s="107"/>
      <c r="B661" s="107"/>
      <c r="C661" s="107"/>
      <c r="D661" s="107"/>
    </row>
    <row r="662" spans="1:4" x14ac:dyDescent="0.25">
      <c r="A662" s="107"/>
      <c r="B662" s="107"/>
      <c r="C662" s="107"/>
      <c r="D662" s="107"/>
    </row>
    <row r="663" spans="1:4" x14ac:dyDescent="0.25">
      <c r="A663" s="107"/>
      <c r="B663" s="107"/>
      <c r="C663" s="107"/>
      <c r="D663" s="107"/>
    </row>
    <row r="664" spans="1:4" x14ac:dyDescent="0.25">
      <c r="A664" s="107"/>
      <c r="B664" s="107"/>
      <c r="C664" s="107"/>
      <c r="D664" s="107"/>
    </row>
    <row r="665" spans="1:4" x14ac:dyDescent="0.25">
      <c r="A665" s="107"/>
      <c r="B665" s="107"/>
      <c r="C665" s="107"/>
      <c r="D665" s="107"/>
    </row>
    <row r="666" spans="1:4" x14ac:dyDescent="0.25">
      <c r="A666" s="107"/>
      <c r="B666" s="107"/>
      <c r="C666" s="107"/>
      <c r="D666" s="107"/>
    </row>
    <row r="667" spans="1:4" x14ac:dyDescent="0.25">
      <c r="A667" s="107"/>
      <c r="B667" s="107"/>
      <c r="C667" s="107"/>
      <c r="D667" s="107"/>
    </row>
    <row r="668" spans="1:4" x14ac:dyDescent="0.25">
      <c r="A668" s="107"/>
      <c r="B668" s="107"/>
      <c r="C668" s="107"/>
      <c r="D668" s="107"/>
    </row>
    <row r="669" spans="1:4" x14ac:dyDescent="0.25">
      <c r="A669" s="107"/>
      <c r="B669" s="107"/>
      <c r="C669" s="107"/>
      <c r="D669" s="107"/>
    </row>
    <row r="670" spans="1:4" x14ac:dyDescent="0.25">
      <c r="A670" s="107"/>
      <c r="B670" s="107"/>
      <c r="C670" s="107"/>
      <c r="D670" s="107"/>
    </row>
    <row r="671" spans="1:4" x14ac:dyDescent="0.25">
      <c r="A671" s="107"/>
      <c r="B671" s="107"/>
      <c r="C671" s="107"/>
      <c r="D671" s="107"/>
    </row>
    <row r="672" spans="1:4" x14ac:dyDescent="0.25">
      <c r="A672" s="107"/>
      <c r="B672" s="107"/>
      <c r="C672" s="107"/>
      <c r="D672" s="107"/>
    </row>
    <row r="673" spans="1:4" x14ac:dyDescent="0.25">
      <c r="A673" s="107"/>
      <c r="B673" s="107"/>
      <c r="C673" s="107"/>
      <c r="D673" s="107"/>
    </row>
    <row r="674" spans="1:4" x14ac:dyDescent="0.25">
      <c r="A674" s="107"/>
      <c r="B674" s="107"/>
      <c r="C674" s="107"/>
      <c r="D674" s="107"/>
    </row>
    <row r="675" spans="1:4" x14ac:dyDescent="0.25">
      <c r="A675" s="107"/>
      <c r="B675" s="107"/>
      <c r="C675" s="107"/>
      <c r="D675" s="107"/>
    </row>
    <row r="676" spans="1:4" x14ac:dyDescent="0.25">
      <c r="A676" s="107"/>
      <c r="B676" s="107"/>
      <c r="C676" s="107"/>
      <c r="D676" s="107"/>
    </row>
    <row r="677" spans="1:4" x14ac:dyDescent="0.25">
      <c r="A677" s="107"/>
      <c r="B677" s="107"/>
      <c r="C677" s="107"/>
      <c r="D677" s="107"/>
    </row>
    <row r="678" spans="1:4" x14ac:dyDescent="0.25">
      <c r="A678" s="107"/>
      <c r="B678" s="107"/>
      <c r="C678" s="107"/>
      <c r="D678" s="107"/>
    </row>
    <row r="679" spans="1:4" x14ac:dyDescent="0.25">
      <c r="A679" s="107"/>
      <c r="B679" s="107"/>
      <c r="C679" s="107"/>
      <c r="D679" s="107"/>
    </row>
    <row r="680" spans="1:4" x14ac:dyDescent="0.25">
      <c r="A680" s="107"/>
      <c r="B680" s="107"/>
      <c r="C680" s="107"/>
      <c r="D680" s="107"/>
    </row>
    <row r="681" spans="1:4" x14ac:dyDescent="0.25">
      <c r="A681" s="107"/>
      <c r="B681" s="107"/>
      <c r="C681" s="107"/>
      <c r="D681" s="107"/>
    </row>
    <row r="682" spans="1:4" x14ac:dyDescent="0.25">
      <c r="A682" s="107"/>
      <c r="B682" s="107"/>
      <c r="C682" s="107"/>
      <c r="D682" s="107"/>
    </row>
    <row r="683" spans="1:4" x14ac:dyDescent="0.25">
      <c r="A683" s="107"/>
      <c r="B683" s="107"/>
      <c r="C683" s="107"/>
      <c r="D683" s="107"/>
    </row>
    <row r="684" spans="1:4" x14ac:dyDescent="0.25">
      <c r="A684" s="107"/>
      <c r="B684" s="107"/>
      <c r="C684" s="107"/>
      <c r="D684" s="107"/>
    </row>
    <row r="685" spans="1:4" x14ac:dyDescent="0.25">
      <c r="A685" s="107"/>
      <c r="B685" s="107"/>
      <c r="C685" s="107"/>
      <c r="D685" s="107"/>
    </row>
    <row r="686" spans="1:4" x14ac:dyDescent="0.25">
      <c r="A686" s="107"/>
      <c r="B686" s="107"/>
      <c r="C686" s="107"/>
      <c r="D686" s="107"/>
    </row>
    <row r="687" spans="1:4" x14ac:dyDescent="0.25">
      <c r="A687" s="107"/>
      <c r="B687" s="107"/>
      <c r="C687" s="107"/>
      <c r="D687" s="107"/>
    </row>
    <row r="688" spans="1:4" x14ac:dyDescent="0.25">
      <c r="A688" s="107"/>
      <c r="B688" s="107"/>
      <c r="C688" s="107"/>
      <c r="D688" s="107"/>
    </row>
    <row r="689" spans="1:4" x14ac:dyDescent="0.25">
      <c r="A689" s="107"/>
      <c r="B689" s="107"/>
      <c r="C689" s="107"/>
      <c r="D689" s="107"/>
    </row>
    <row r="690" spans="1:4" x14ac:dyDescent="0.25">
      <c r="A690" s="107"/>
      <c r="B690" s="107"/>
      <c r="C690" s="107"/>
      <c r="D690" s="107"/>
    </row>
    <row r="691" spans="1:4" x14ac:dyDescent="0.25">
      <c r="A691" s="107"/>
      <c r="B691" s="107"/>
      <c r="C691" s="107"/>
      <c r="D691" s="107"/>
    </row>
    <row r="692" spans="1:4" x14ac:dyDescent="0.25">
      <c r="A692" s="107"/>
      <c r="B692" s="107"/>
      <c r="C692" s="107"/>
      <c r="D692" s="107"/>
    </row>
    <row r="693" spans="1:4" x14ac:dyDescent="0.25">
      <c r="A693" s="107"/>
      <c r="B693" s="107"/>
      <c r="C693" s="107"/>
      <c r="D693" s="107"/>
    </row>
    <row r="694" spans="1:4" x14ac:dyDescent="0.25">
      <c r="A694" s="107"/>
      <c r="B694" s="107"/>
      <c r="C694" s="107"/>
      <c r="D694" s="107"/>
    </row>
    <row r="695" spans="1:4" x14ac:dyDescent="0.25">
      <c r="A695" s="107"/>
      <c r="B695" s="107"/>
      <c r="C695" s="107"/>
      <c r="D695" s="107"/>
    </row>
    <row r="696" spans="1:4" x14ac:dyDescent="0.25">
      <c r="A696" s="107"/>
      <c r="B696" s="107"/>
      <c r="C696" s="107"/>
      <c r="D696" s="107"/>
    </row>
    <row r="697" spans="1:4" x14ac:dyDescent="0.25">
      <c r="A697" s="107"/>
      <c r="B697" s="107"/>
      <c r="C697" s="107"/>
      <c r="D697" s="107"/>
    </row>
    <row r="698" spans="1:4" x14ac:dyDescent="0.25">
      <c r="A698" s="107"/>
      <c r="B698" s="107"/>
      <c r="C698" s="107"/>
      <c r="D698" s="107"/>
    </row>
    <row r="699" spans="1:4" x14ac:dyDescent="0.25">
      <c r="A699" s="107"/>
      <c r="B699" s="107"/>
      <c r="C699" s="107"/>
      <c r="D699" s="107"/>
    </row>
    <row r="700" spans="1:4" x14ac:dyDescent="0.25">
      <c r="A700" s="107"/>
      <c r="B700" s="107"/>
      <c r="C700" s="107"/>
      <c r="D700" s="107"/>
    </row>
    <row r="701" spans="1:4" x14ac:dyDescent="0.25">
      <c r="A701" s="107"/>
      <c r="B701" s="107"/>
      <c r="C701" s="107"/>
      <c r="D701" s="107"/>
    </row>
    <row r="702" spans="1:4" x14ac:dyDescent="0.25">
      <c r="A702" s="107"/>
      <c r="B702" s="107"/>
      <c r="C702" s="107"/>
      <c r="D702" s="107"/>
    </row>
    <row r="703" spans="1:4" x14ac:dyDescent="0.25">
      <c r="A703" s="107"/>
      <c r="B703" s="107"/>
      <c r="C703" s="107"/>
      <c r="D703" s="107"/>
    </row>
    <row r="704" spans="1:4" x14ac:dyDescent="0.25">
      <c r="A704" s="107"/>
      <c r="B704" s="107"/>
      <c r="C704" s="107"/>
      <c r="D704" s="107"/>
    </row>
    <row r="705" spans="1:4" x14ac:dyDescent="0.25">
      <c r="A705" s="107"/>
      <c r="B705" s="107"/>
      <c r="C705" s="107"/>
      <c r="D705" s="107"/>
    </row>
    <row r="706" spans="1:4" x14ac:dyDescent="0.25">
      <c r="A706" s="107"/>
      <c r="B706" s="107"/>
      <c r="C706" s="107"/>
      <c r="D706" s="107"/>
    </row>
    <row r="707" spans="1:4" x14ac:dyDescent="0.25">
      <c r="A707" s="107"/>
      <c r="B707" s="107"/>
      <c r="C707" s="107"/>
      <c r="D707" s="107"/>
    </row>
    <row r="708" spans="1:4" x14ac:dyDescent="0.25">
      <c r="A708" s="107"/>
      <c r="B708" s="107"/>
      <c r="C708" s="107"/>
      <c r="D708" s="107"/>
    </row>
    <row r="709" spans="1:4" x14ac:dyDescent="0.25">
      <c r="A709" s="107"/>
      <c r="B709" s="107"/>
      <c r="C709" s="107"/>
      <c r="D709" s="107"/>
    </row>
    <row r="710" spans="1:4" x14ac:dyDescent="0.25">
      <c r="A710" s="107"/>
      <c r="B710" s="107"/>
      <c r="C710" s="107"/>
      <c r="D710" s="107"/>
    </row>
    <row r="711" spans="1:4" x14ac:dyDescent="0.25">
      <c r="A711" s="107"/>
      <c r="B711" s="107"/>
      <c r="C711" s="107"/>
      <c r="D711" s="107"/>
    </row>
    <row r="712" spans="1:4" x14ac:dyDescent="0.25">
      <c r="A712" s="107"/>
      <c r="B712" s="107"/>
      <c r="C712" s="107"/>
      <c r="D712" s="107"/>
    </row>
    <row r="713" spans="1:4" x14ac:dyDescent="0.25">
      <c r="A713" s="107"/>
      <c r="B713" s="107"/>
      <c r="C713" s="107"/>
      <c r="D713" s="107"/>
    </row>
    <row r="714" spans="1:4" x14ac:dyDescent="0.25">
      <c r="A714" s="107"/>
      <c r="B714" s="107"/>
      <c r="C714" s="107"/>
      <c r="D714" s="107"/>
    </row>
    <row r="715" spans="1:4" x14ac:dyDescent="0.25">
      <c r="A715" s="107"/>
      <c r="B715" s="107"/>
      <c r="C715" s="107"/>
      <c r="D715" s="107"/>
    </row>
    <row r="716" spans="1:4" x14ac:dyDescent="0.25">
      <c r="A716" s="107"/>
      <c r="B716" s="107"/>
      <c r="C716" s="107"/>
      <c r="D716" s="107"/>
    </row>
    <row r="717" spans="1:4" x14ac:dyDescent="0.25">
      <c r="A717" s="107"/>
      <c r="B717" s="107"/>
      <c r="C717" s="107"/>
      <c r="D717" s="107"/>
    </row>
    <row r="718" spans="1:4" x14ac:dyDescent="0.25">
      <c r="A718" s="107"/>
      <c r="B718" s="107"/>
      <c r="C718" s="107"/>
      <c r="D718" s="107"/>
    </row>
    <row r="719" spans="1:4" x14ac:dyDescent="0.25">
      <c r="A719" s="107"/>
      <c r="B719" s="107"/>
      <c r="C719" s="107"/>
      <c r="D719" s="107"/>
    </row>
    <row r="720" spans="1:4" x14ac:dyDescent="0.25">
      <c r="A720" s="107"/>
      <c r="B720" s="107"/>
      <c r="C720" s="107"/>
      <c r="D720" s="107"/>
    </row>
    <row r="721" spans="1:4" x14ac:dyDescent="0.25">
      <c r="A721" s="107"/>
      <c r="B721" s="107"/>
      <c r="C721" s="107"/>
      <c r="D721" s="107"/>
    </row>
    <row r="722" spans="1:4" x14ac:dyDescent="0.25">
      <c r="A722" s="107"/>
      <c r="B722" s="107"/>
      <c r="C722" s="107"/>
      <c r="D722" s="107"/>
    </row>
    <row r="723" spans="1:4" x14ac:dyDescent="0.25">
      <c r="A723" s="107"/>
      <c r="B723" s="107"/>
      <c r="C723" s="107"/>
      <c r="D723" s="107"/>
    </row>
    <row r="724" spans="1:4" x14ac:dyDescent="0.25">
      <c r="A724" s="107"/>
      <c r="B724" s="107"/>
      <c r="C724" s="107"/>
      <c r="D724" s="107"/>
    </row>
    <row r="725" spans="1:4" x14ac:dyDescent="0.25">
      <c r="A725" s="107"/>
      <c r="B725" s="107"/>
      <c r="C725" s="107"/>
      <c r="D725" s="107"/>
    </row>
    <row r="726" spans="1:4" x14ac:dyDescent="0.25">
      <c r="A726" s="107"/>
      <c r="B726" s="107"/>
      <c r="C726" s="107"/>
      <c r="D726" s="107"/>
    </row>
    <row r="727" spans="1:4" x14ac:dyDescent="0.25">
      <c r="A727" s="107"/>
      <c r="B727" s="107"/>
      <c r="C727" s="107"/>
      <c r="D727" s="107"/>
    </row>
    <row r="728" spans="1:4" x14ac:dyDescent="0.25">
      <c r="A728" s="107"/>
      <c r="B728" s="107"/>
      <c r="C728" s="107"/>
      <c r="D728" s="107"/>
    </row>
    <row r="729" spans="1:4" x14ac:dyDescent="0.25">
      <c r="A729" s="107"/>
      <c r="B729" s="107"/>
      <c r="C729" s="107"/>
      <c r="D729" s="107"/>
    </row>
    <row r="730" spans="1:4" x14ac:dyDescent="0.25">
      <c r="A730" s="107"/>
      <c r="B730" s="107"/>
      <c r="C730" s="107"/>
      <c r="D730" s="107"/>
    </row>
    <row r="731" spans="1:4" x14ac:dyDescent="0.25">
      <c r="A731" s="107"/>
      <c r="B731" s="107"/>
      <c r="C731" s="107"/>
      <c r="D731" s="107"/>
    </row>
    <row r="732" spans="1:4" x14ac:dyDescent="0.25">
      <c r="A732" s="107"/>
      <c r="B732" s="107"/>
      <c r="C732" s="107"/>
      <c r="D732" s="107"/>
    </row>
    <row r="733" spans="1:4" x14ac:dyDescent="0.25">
      <c r="A733" s="107"/>
      <c r="B733" s="107"/>
      <c r="C733" s="107"/>
      <c r="D733" s="107"/>
    </row>
    <row r="734" spans="1:4" x14ac:dyDescent="0.25">
      <c r="A734" s="107"/>
      <c r="B734" s="107"/>
      <c r="C734" s="107"/>
      <c r="D734" s="107"/>
    </row>
    <row r="735" spans="1:4" x14ac:dyDescent="0.25">
      <c r="A735" s="107"/>
      <c r="B735" s="107"/>
      <c r="C735" s="107"/>
      <c r="D735" s="107"/>
    </row>
    <row r="736" spans="1:4" x14ac:dyDescent="0.25">
      <c r="A736" s="107"/>
      <c r="B736" s="107"/>
      <c r="C736" s="107"/>
      <c r="D736" s="107"/>
    </row>
    <row r="737" spans="1:4" x14ac:dyDescent="0.25">
      <c r="A737" s="107"/>
      <c r="B737" s="107"/>
      <c r="C737" s="107"/>
      <c r="D737" s="107"/>
    </row>
    <row r="738" spans="1:4" x14ac:dyDescent="0.25">
      <c r="A738" s="107"/>
      <c r="B738" s="107"/>
      <c r="C738" s="107"/>
      <c r="D738" s="107"/>
    </row>
    <row r="739" spans="1:4" x14ac:dyDescent="0.25">
      <c r="A739" s="107"/>
      <c r="B739" s="107"/>
      <c r="C739" s="107"/>
      <c r="D739" s="107"/>
    </row>
    <row r="740" spans="1:4" x14ac:dyDescent="0.25">
      <c r="A740" s="107"/>
      <c r="B740" s="107"/>
      <c r="C740" s="107"/>
      <c r="D740" s="107"/>
    </row>
    <row r="741" spans="1:4" x14ac:dyDescent="0.25">
      <c r="A741" s="107"/>
      <c r="B741" s="107"/>
      <c r="C741" s="107"/>
      <c r="D741" s="107"/>
    </row>
    <row r="742" spans="1:4" x14ac:dyDescent="0.25">
      <c r="A742" s="107"/>
      <c r="B742" s="107"/>
      <c r="C742" s="107"/>
      <c r="D742" s="107"/>
    </row>
    <row r="743" spans="1:4" x14ac:dyDescent="0.25">
      <c r="A743" s="107"/>
      <c r="B743" s="107"/>
      <c r="C743" s="107"/>
      <c r="D743" s="107"/>
    </row>
    <row r="744" spans="1:4" x14ac:dyDescent="0.25">
      <c r="A744" s="107"/>
      <c r="B744" s="107"/>
      <c r="C744" s="107"/>
      <c r="D744" s="107"/>
    </row>
    <row r="745" spans="1:4" x14ac:dyDescent="0.25">
      <c r="A745" s="107"/>
      <c r="B745" s="107"/>
      <c r="C745" s="107"/>
      <c r="D745" s="107"/>
    </row>
    <row r="746" spans="1:4" x14ac:dyDescent="0.25">
      <c r="A746" s="107"/>
      <c r="B746" s="107"/>
      <c r="C746" s="107"/>
      <c r="D746" s="107"/>
    </row>
    <row r="747" spans="1:4" x14ac:dyDescent="0.25">
      <c r="A747" s="107"/>
      <c r="B747" s="107"/>
      <c r="C747" s="107"/>
      <c r="D747" s="107"/>
    </row>
    <row r="748" spans="1:4" x14ac:dyDescent="0.25">
      <c r="A748" s="107"/>
      <c r="B748" s="107"/>
      <c r="C748" s="107"/>
      <c r="D748" s="107"/>
    </row>
    <row r="749" spans="1:4" x14ac:dyDescent="0.25">
      <c r="A749" s="107"/>
      <c r="B749" s="107"/>
      <c r="C749" s="107"/>
      <c r="D749" s="107"/>
    </row>
    <row r="750" spans="1:4" x14ac:dyDescent="0.25">
      <c r="A750" s="107"/>
      <c r="B750" s="107"/>
      <c r="C750" s="107"/>
      <c r="D750" s="107"/>
    </row>
    <row r="751" spans="1:4" x14ac:dyDescent="0.25">
      <c r="A751" s="107"/>
      <c r="B751" s="107"/>
      <c r="C751" s="107"/>
      <c r="D751" s="107"/>
    </row>
    <row r="752" spans="1:4" x14ac:dyDescent="0.25">
      <c r="A752" s="107"/>
      <c r="B752" s="107"/>
      <c r="C752" s="107"/>
      <c r="D752" s="107"/>
    </row>
    <row r="753" spans="1:4" x14ac:dyDescent="0.25">
      <c r="A753" s="107"/>
      <c r="B753" s="107"/>
      <c r="C753" s="107"/>
      <c r="D753" s="107"/>
    </row>
    <row r="754" spans="1:4" x14ac:dyDescent="0.25">
      <c r="A754" s="107"/>
      <c r="B754" s="107"/>
      <c r="C754" s="107"/>
      <c r="D754" s="107"/>
    </row>
    <row r="755" spans="1:4" x14ac:dyDescent="0.25">
      <c r="A755" s="107"/>
      <c r="B755" s="107"/>
      <c r="C755" s="107"/>
      <c r="D755" s="107"/>
    </row>
    <row r="756" spans="1:4" x14ac:dyDescent="0.25">
      <c r="A756" s="107"/>
      <c r="B756" s="107"/>
      <c r="C756" s="107"/>
      <c r="D756" s="107"/>
    </row>
    <row r="757" spans="1:4" x14ac:dyDescent="0.25">
      <c r="A757" s="107"/>
      <c r="B757" s="107"/>
      <c r="C757" s="107"/>
      <c r="D757" s="107"/>
    </row>
    <row r="758" spans="1:4" x14ac:dyDescent="0.25">
      <c r="A758" s="107"/>
      <c r="B758" s="107"/>
      <c r="C758" s="107"/>
      <c r="D758" s="107"/>
    </row>
    <row r="759" spans="1:4" x14ac:dyDescent="0.25">
      <c r="A759" s="107"/>
      <c r="B759" s="107"/>
      <c r="C759" s="107"/>
      <c r="D759" s="107"/>
    </row>
    <row r="760" spans="1:4" x14ac:dyDescent="0.25">
      <c r="A760" s="107"/>
      <c r="B760" s="107"/>
      <c r="C760" s="107"/>
      <c r="D760" s="107"/>
    </row>
    <row r="761" spans="1:4" x14ac:dyDescent="0.25">
      <c r="A761" s="107"/>
      <c r="B761" s="107"/>
      <c r="C761" s="107"/>
      <c r="D761" s="107"/>
    </row>
    <row r="762" spans="1:4" x14ac:dyDescent="0.25">
      <c r="A762" s="107"/>
      <c r="B762" s="107"/>
      <c r="C762" s="107"/>
      <c r="D762" s="107"/>
    </row>
    <row r="763" spans="1:4" x14ac:dyDescent="0.25">
      <c r="A763" s="107"/>
      <c r="B763" s="107"/>
      <c r="C763" s="107"/>
      <c r="D763" s="107"/>
    </row>
    <row r="764" spans="1:4" x14ac:dyDescent="0.25">
      <c r="A764" s="107"/>
      <c r="B764" s="107"/>
      <c r="C764" s="107"/>
      <c r="D764" s="107"/>
    </row>
    <row r="765" spans="1:4" x14ac:dyDescent="0.25">
      <c r="A765" s="107"/>
      <c r="B765" s="107"/>
      <c r="C765" s="107"/>
      <c r="D765" s="107"/>
    </row>
    <row r="766" spans="1:4" x14ac:dyDescent="0.25">
      <c r="A766" s="107"/>
      <c r="B766" s="107"/>
      <c r="C766" s="107"/>
      <c r="D766" s="107"/>
    </row>
    <row r="767" spans="1:4" x14ac:dyDescent="0.25">
      <c r="A767" s="107"/>
      <c r="B767" s="107"/>
      <c r="C767" s="107"/>
      <c r="D767" s="107"/>
    </row>
    <row r="768" spans="1:4" x14ac:dyDescent="0.25">
      <c r="A768" s="107"/>
      <c r="B768" s="107"/>
      <c r="C768" s="107"/>
      <c r="D768" s="107"/>
    </row>
    <row r="769" spans="1:4" x14ac:dyDescent="0.25">
      <c r="A769" s="107"/>
      <c r="B769" s="107"/>
      <c r="C769" s="107"/>
      <c r="D769" s="107"/>
    </row>
    <row r="770" spans="1:4" x14ac:dyDescent="0.25">
      <c r="A770" s="107"/>
      <c r="B770" s="107"/>
      <c r="C770" s="107"/>
      <c r="D770" s="107"/>
    </row>
    <row r="771" spans="1:4" x14ac:dyDescent="0.25">
      <c r="A771" s="107"/>
      <c r="B771" s="107"/>
      <c r="C771" s="107"/>
      <c r="D771" s="107"/>
    </row>
    <row r="772" spans="1:4" x14ac:dyDescent="0.25">
      <c r="A772" s="107"/>
      <c r="B772" s="107"/>
      <c r="C772" s="107"/>
      <c r="D772" s="107"/>
    </row>
    <row r="773" spans="1:4" x14ac:dyDescent="0.25">
      <c r="A773" s="107"/>
      <c r="B773" s="107"/>
      <c r="C773" s="107"/>
      <c r="D773" s="107"/>
    </row>
    <row r="774" spans="1:4" x14ac:dyDescent="0.25">
      <c r="A774" s="107"/>
      <c r="B774" s="107"/>
      <c r="C774" s="107"/>
      <c r="D774" s="107"/>
    </row>
    <row r="775" spans="1:4" x14ac:dyDescent="0.25">
      <c r="A775" s="107"/>
      <c r="B775" s="107"/>
      <c r="C775" s="107"/>
      <c r="D775" s="107"/>
    </row>
    <row r="776" spans="1:4" x14ac:dyDescent="0.25">
      <c r="A776" s="107"/>
      <c r="B776" s="107"/>
      <c r="C776" s="107"/>
      <c r="D776" s="107"/>
    </row>
    <row r="777" spans="1:4" x14ac:dyDescent="0.25">
      <c r="A777" s="107"/>
      <c r="B777" s="107"/>
      <c r="C777" s="107"/>
      <c r="D777" s="107"/>
    </row>
    <row r="778" spans="1:4" x14ac:dyDescent="0.25">
      <c r="A778" s="107"/>
      <c r="B778" s="107"/>
      <c r="C778" s="107"/>
      <c r="D778" s="107"/>
    </row>
    <row r="779" spans="1:4" x14ac:dyDescent="0.25">
      <c r="A779" s="107"/>
      <c r="B779" s="107"/>
      <c r="C779" s="107"/>
      <c r="D779" s="107"/>
    </row>
    <row r="780" spans="1:4" x14ac:dyDescent="0.25">
      <c r="A780" s="107"/>
      <c r="B780" s="107"/>
      <c r="C780" s="107"/>
      <c r="D780" s="107"/>
    </row>
    <row r="781" spans="1:4" x14ac:dyDescent="0.25">
      <c r="A781" s="107"/>
      <c r="B781" s="107"/>
      <c r="C781" s="107"/>
      <c r="D781" s="107"/>
    </row>
    <row r="782" spans="1:4" x14ac:dyDescent="0.25">
      <c r="A782" s="107"/>
      <c r="B782" s="107"/>
      <c r="C782" s="107"/>
      <c r="D782" s="107"/>
    </row>
    <row r="783" spans="1:4" x14ac:dyDescent="0.25">
      <c r="A783" s="107"/>
      <c r="B783" s="107"/>
      <c r="C783" s="107"/>
      <c r="D783" s="107"/>
    </row>
    <row r="784" spans="1:4" x14ac:dyDescent="0.25">
      <c r="A784" s="107"/>
      <c r="B784" s="107"/>
      <c r="C784" s="107"/>
      <c r="D784" s="107"/>
    </row>
    <row r="785" spans="1:4" x14ac:dyDescent="0.25">
      <c r="A785" s="107"/>
      <c r="B785" s="107"/>
      <c r="C785" s="107"/>
      <c r="D785" s="107"/>
    </row>
    <row r="786" spans="1:4" x14ac:dyDescent="0.25">
      <c r="A786" s="107"/>
      <c r="B786" s="107"/>
      <c r="C786" s="107"/>
      <c r="D786" s="107"/>
    </row>
    <row r="787" spans="1:4" x14ac:dyDescent="0.25">
      <c r="A787" s="107"/>
      <c r="B787" s="107"/>
      <c r="C787" s="107"/>
      <c r="D787" s="107"/>
    </row>
    <row r="788" spans="1:4" x14ac:dyDescent="0.25">
      <c r="A788" s="107"/>
      <c r="B788" s="107"/>
      <c r="C788" s="107"/>
      <c r="D788" s="107"/>
    </row>
    <row r="789" spans="1:4" x14ac:dyDescent="0.25">
      <c r="A789" s="107"/>
      <c r="B789" s="107"/>
      <c r="C789" s="107"/>
      <c r="D789" s="107"/>
    </row>
    <row r="790" spans="1:4" x14ac:dyDescent="0.25">
      <c r="A790" s="107"/>
      <c r="B790" s="107"/>
      <c r="C790" s="107"/>
      <c r="D790" s="107"/>
    </row>
    <row r="791" spans="1:4" x14ac:dyDescent="0.25">
      <c r="A791" s="107"/>
      <c r="B791" s="107"/>
      <c r="C791" s="107"/>
      <c r="D791" s="107"/>
    </row>
    <row r="792" spans="1:4" x14ac:dyDescent="0.25">
      <c r="A792" s="107"/>
      <c r="B792" s="107"/>
      <c r="C792" s="107"/>
      <c r="D792" s="107"/>
    </row>
    <row r="793" spans="1:4" x14ac:dyDescent="0.25">
      <c r="A793" s="107"/>
      <c r="B793" s="107"/>
      <c r="C793" s="107"/>
      <c r="D793" s="107"/>
    </row>
    <row r="794" spans="1:4" x14ac:dyDescent="0.25">
      <c r="A794" s="107"/>
      <c r="B794" s="107"/>
      <c r="C794" s="107"/>
      <c r="D794" s="107"/>
    </row>
    <row r="795" spans="1:4" x14ac:dyDescent="0.25">
      <c r="A795" s="107"/>
      <c r="B795" s="107"/>
      <c r="C795" s="107"/>
      <c r="D795" s="107"/>
    </row>
    <row r="796" spans="1:4" x14ac:dyDescent="0.25">
      <c r="A796" s="107"/>
      <c r="B796" s="107"/>
      <c r="C796" s="107"/>
      <c r="D796" s="107"/>
    </row>
    <row r="797" spans="1:4" x14ac:dyDescent="0.25">
      <c r="A797" s="107"/>
      <c r="B797" s="107"/>
      <c r="C797" s="107"/>
      <c r="D797" s="107"/>
    </row>
    <row r="798" spans="1:4" x14ac:dyDescent="0.25">
      <c r="A798" s="107"/>
      <c r="B798" s="107"/>
      <c r="C798" s="107"/>
      <c r="D798" s="107"/>
    </row>
    <row r="799" spans="1:4" x14ac:dyDescent="0.25">
      <c r="A799" s="107"/>
      <c r="B799" s="107"/>
      <c r="C799" s="107"/>
      <c r="D799" s="107"/>
    </row>
    <row r="800" spans="1:4" x14ac:dyDescent="0.25">
      <c r="A800" s="107"/>
      <c r="B800" s="107"/>
      <c r="C800" s="107"/>
      <c r="D800" s="107"/>
    </row>
    <row r="801" spans="1:4" x14ac:dyDescent="0.25">
      <c r="A801" s="107"/>
      <c r="B801" s="107"/>
      <c r="C801" s="107"/>
      <c r="D801" s="107"/>
    </row>
    <row r="802" spans="1:4" x14ac:dyDescent="0.25">
      <c r="A802" s="107"/>
      <c r="B802" s="107"/>
      <c r="C802" s="107"/>
      <c r="D802" s="107"/>
    </row>
    <row r="803" spans="1:4" x14ac:dyDescent="0.25">
      <c r="A803" s="107"/>
      <c r="B803" s="107"/>
      <c r="C803" s="107"/>
      <c r="D803" s="107"/>
    </row>
    <row r="804" spans="1:4" x14ac:dyDescent="0.25">
      <c r="A804" s="107"/>
      <c r="B804" s="107"/>
      <c r="C804" s="107"/>
      <c r="D804" s="107"/>
    </row>
    <row r="805" spans="1:4" x14ac:dyDescent="0.25">
      <c r="A805" s="107"/>
      <c r="B805" s="107"/>
      <c r="C805" s="107"/>
      <c r="D805" s="107"/>
    </row>
    <row r="806" spans="1:4" x14ac:dyDescent="0.25">
      <c r="A806" s="107"/>
      <c r="B806" s="107"/>
      <c r="C806" s="107"/>
      <c r="D806" s="107"/>
    </row>
    <row r="807" spans="1:4" x14ac:dyDescent="0.25">
      <c r="A807" s="107"/>
      <c r="B807" s="107"/>
      <c r="C807" s="107"/>
      <c r="D807" s="107"/>
    </row>
    <row r="808" spans="1:4" x14ac:dyDescent="0.25">
      <c r="A808" s="107"/>
      <c r="B808" s="107"/>
      <c r="C808" s="107"/>
      <c r="D808" s="107"/>
    </row>
    <row r="809" spans="1:4" x14ac:dyDescent="0.25">
      <c r="A809" s="107"/>
      <c r="B809" s="107"/>
      <c r="C809" s="107"/>
      <c r="D809" s="107"/>
    </row>
    <row r="810" spans="1:4" x14ac:dyDescent="0.25">
      <c r="A810" s="107"/>
      <c r="B810" s="107"/>
      <c r="C810" s="107"/>
      <c r="D810" s="107"/>
    </row>
    <row r="811" spans="1:4" x14ac:dyDescent="0.25">
      <c r="A811" s="107"/>
      <c r="B811" s="107"/>
      <c r="C811" s="107"/>
      <c r="D811" s="107"/>
    </row>
    <row r="812" spans="1:4" x14ac:dyDescent="0.25">
      <c r="A812" s="107"/>
      <c r="B812" s="107"/>
      <c r="C812" s="107"/>
      <c r="D812" s="107"/>
    </row>
    <row r="813" spans="1:4" x14ac:dyDescent="0.25">
      <c r="A813" s="107"/>
      <c r="B813" s="107"/>
      <c r="C813" s="107"/>
      <c r="D813" s="107"/>
    </row>
    <row r="814" spans="1:4" x14ac:dyDescent="0.25">
      <c r="A814" s="107"/>
      <c r="B814" s="107"/>
      <c r="C814" s="107"/>
      <c r="D814" s="107"/>
    </row>
    <row r="815" spans="1:4" x14ac:dyDescent="0.25">
      <c r="A815" s="107"/>
      <c r="B815" s="107"/>
      <c r="C815" s="107"/>
      <c r="D815" s="107"/>
    </row>
    <row r="816" spans="1:4" x14ac:dyDescent="0.25">
      <c r="A816" s="107"/>
      <c r="B816" s="107"/>
      <c r="C816" s="107"/>
      <c r="D816" s="107"/>
    </row>
    <row r="817" spans="1:4" x14ac:dyDescent="0.25">
      <c r="A817" s="107"/>
      <c r="B817" s="107"/>
      <c r="C817" s="107"/>
      <c r="D817" s="107"/>
    </row>
    <row r="818" spans="1:4" x14ac:dyDescent="0.25">
      <c r="A818" s="107"/>
      <c r="B818" s="107"/>
      <c r="C818" s="107"/>
      <c r="D818" s="107"/>
    </row>
    <row r="819" spans="1:4" x14ac:dyDescent="0.25">
      <c r="A819" s="107"/>
      <c r="B819" s="107"/>
      <c r="C819" s="107"/>
      <c r="D819" s="107"/>
    </row>
    <row r="820" spans="1:4" x14ac:dyDescent="0.25">
      <c r="A820" s="107"/>
      <c r="B820" s="107"/>
      <c r="C820" s="107"/>
      <c r="D820" s="107"/>
    </row>
    <row r="821" spans="1:4" x14ac:dyDescent="0.25">
      <c r="A821" s="107"/>
      <c r="B821" s="107"/>
      <c r="C821" s="107"/>
      <c r="D821" s="107"/>
    </row>
    <row r="822" spans="1:4" x14ac:dyDescent="0.25">
      <c r="A822" s="107"/>
      <c r="B822" s="107"/>
      <c r="C822" s="107"/>
      <c r="D822" s="107"/>
    </row>
    <row r="823" spans="1:4" x14ac:dyDescent="0.25">
      <c r="A823" s="107"/>
      <c r="B823" s="107"/>
      <c r="C823" s="107"/>
      <c r="D823" s="107"/>
    </row>
    <row r="824" spans="1:4" x14ac:dyDescent="0.25">
      <c r="A824" s="107"/>
      <c r="B824" s="107"/>
      <c r="C824" s="107"/>
      <c r="D824" s="107"/>
    </row>
    <row r="825" spans="1:4" x14ac:dyDescent="0.25">
      <c r="A825" s="107"/>
      <c r="B825" s="107"/>
      <c r="C825" s="107"/>
      <c r="D825" s="107"/>
    </row>
    <row r="826" spans="1:4" x14ac:dyDescent="0.25">
      <c r="A826" s="107"/>
      <c r="B826" s="107"/>
      <c r="C826" s="107"/>
      <c r="D826" s="107"/>
    </row>
    <row r="827" spans="1:4" x14ac:dyDescent="0.25">
      <c r="A827" s="107"/>
      <c r="B827" s="107"/>
      <c r="C827" s="107"/>
      <c r="D827" s="107"/>
    </row>
    <row r="828" spans="1:4" x14ac:dyDescent="0.25">
      <c r="A828" s="107"/>
      <c r="B828" s="107"/>
      <c r="C828" s="107"/>
      <c r="D828" s="107"/>
    </row>
    <row r="829" spans="1:4" x14ac:dyDescent="0.25">
      <c r="A829" s="107"/>
      <c r="B829" s="107"/>
      <c r="C829" s="107"/>
      <c r="D829" s="107"/>
    </row>
    <row r="830" spans="1:4" x14ac:dyDescent="0.25">
      <c r="A830" s="107"/>
      <c r="B830" s="107"/>
      <c r="C830" s="107"/>
      <c r="D830" s="107"/>
    </row>
    <row r="831" spans="1:4" x14ac:dyDescent="0.25">
      <c r="A831" s="107"/>
      <c r="B831" s="107"/>
      <c r="C831" s="107"/>
      <c r="D831" s="107"/>
    </row>
    <row r="832" spans="1:4" x14ac:dyDescent="0.25">
      <c r="A832" s="107"/>
      <c r="B832" s="107"/>
      <c r="C832" s="107"/>
      <c r="D832" s="107"/>
    </row>
    <row r="833" spans="1:4" x14ac:dyDescent="0.25">
      <c r="A833" s="107"/>
      <c r="B833" s="107"/>
      <c r="C833" s="107"/>
      <c r="D833" s="107"/>
    </row>
    <row r="834" spans="1:4" x14ac:dyDescent="0.25">
      <c r="A834" s="107"/>
      <c r="B834" s="107"/>
      <c r="C834" s="107"/>
      <c r="D834" s="107"/>
    </row>
    <row r="835" spans="1:4" x14ac:dyDescent="0.25">
      <c r="A835" s="107"/>
      <c r="B835" s="107"/>
      <c r="C835" s="107"/>
      <c r="D835" s="107"/>
    </row>
    <row r="836" spans="1:4" x14ac:dyDescent="0.25">
      <c r="A836" s="107"/>
      <c r="B836" s="107"/>
      <c r="C836" s="107"/>
      <c r="D836" s="107"/>
    </row>
    <row r="837" spans="1:4" x14ac:dyDescent="0.25">
      <c r="A837" s="107"/>
      <c r="B837" s="107"/>
      <c r="C837" s="107"/>
      <c r="D837" s="107"/>
    </row>
    <row r="838" spans="1:4" x14ac:dyDescent="0.25">
      <c r="A838" s="107"/>
      <c r="B838" s="107"/>
      <c r="C838" s="107"/>
      <c r="D838" s="107"/>
    </row>
    <row r="839" spans="1:4" x14ac:dyDescent="0.25">
      <c r="A839" s="107"/>
      <c r="B839" s="107"/>
      <c r="C839" s="107"/>
      <c r="D839" s="107"/>
    </row>
    <row r="840" spans="1:4" x14ac:dyDescent="0.25">
      <c r="A840" s="107"/>
      <c r="B840" s="107"/>
      <c r="C840" s="107"/>
      <c r="D840" s="107"/>
    </row>
    <row r="841" spans="1:4" x14ac:dyDescent="0.25">
      <c r="A841" s="107"/>
      <c r="B841" s="107"/>
      <c r="C841" s="107"/>
      <c r="D841" s="107"/>
    </row>
    <row r="842" spans="1:4" x14ac:dyDescent="0.25">
      <c r="A842" s="107"/>
      <c r="B842" s="107"/>
      <c r="C842" s="107"/>
      <c r="D842" s="107"/>
    </row>
    <row r="843" spans="1:4" x14ac:dyDescent="0.25">
      <c r="A843" s="107"/>
      <c r="B843" s="107"/>
      <c r="C843" s="107"/>
      <c r="D843" s="107"/>
    </row>
    <row r="844" spans="1:4" x14ac:dyDescent="0.25">
      <c r="A844" s="107"/>
      <c r="B844" s="107"/>
      <c r="C844" s="107"/>
      <c r="D844" s="107"/>
    </row>
    <row r="845" spans="1:4" x14ac:dyDescent="0.25">
      <c r="A845" s="107"/>
      <c r="B845" s="107"/>
      <c r="C845" s="107"/>
      <c r="D845" s="107"/>
    </row>
    <row r="846" spans="1:4" x14ac:dyDescent="0.25">
      <c r="A846" s="107"/>
      <c r="B846" s="107"/>
      <c r="C846" s="107"/>
      <c r="D846" s="107"/>
    </row>
    <row r="847" spans="1:4" x14ac:dyDescent="0.25">
      <c r="A847" s="107"/>
      <c r="B847" s="107"/>
      <c r="C847" s="107"/>
      <c r="D847" s="107"/>
    </row>
    <row r="848" spans="1:4" x14ac:dyDescent="0.25">
      <c r="A848" s="107"/>
      <c r="B848" s="107"/>
      <c r="C848" s="107"/>
      <c r="D848" s="107"/>
    </row>
    <row r="849" spans="1:4" x14ac:dyDescent="0.25">
      <c r="A849" s="107"/>
      <c r="B849" s="107"/>
      <c r="C849" s="107"/>
      <c r="D849" s="107"/>
    </row>
    <row r="850" spans="1:4" x14ac:dyDescent="0.25">
      <c r="A850" s="107"/>
      <c r="B850" s="107"/>
      <c r="C850" s="107"/>
      <c r="D850" s="107"/>
    </row>
    <row r="851" spans="1:4" x14ac:dyDescent="0.25">
      <c r="A851" s="107"/>
      <c r="B851" s="107"/>
      <c r="C851" s="107"/>
      <c r="D851" s="107"/>
    </row>
    <row r="852" spans="1:4" x14ac:dyDescent="0.25">
      <c r="A852" s="107"/>
      <c r="B852" s="107"/>
      <c r="C852" s="107"/>
      <c r="D852" s="107"/>
    </row>
    <row r="853" spans="1:4" x14ac:dyDescent="0.25">
      <c r="A853" s="107"/>
      <c r="B853" s="107"/>
      <c r="C853" s="107"/>
      <c r="D853" s="107"/>
    </row>
    <row r="854" spans="1:4" x14ac:dyDescent="0.25">
      <c r="A854" s="107"/>
      <c r="B854" s="107"/>
      <c r="C854" s="107"/>
      <c r="D854" s="107"/>
    </row>
    <row r="855" spans="1:4" x14ac:dyDescent="0.25">
      <c r="A855" s="107"/>
      <c r="B855" s="107"/>
      <c r="C855" s="107"/>
      <c r="D855" s="107"/>
    </row>
    <row r="856" spans="1:4" x14ac:dyDescent="0.25">
      <c r="A856" s="107"/>
      <c r="B856" s="107"/>
      <c r="C856" s="107"/>
      <c r="D856" s="107"/>
    </row>
    <row r="857" spans="1:4" x14ac:dyDescent="0.25">
      <c r="A857" s="107"/>
      <c r="B857" s="107"/>
      <c r="C857" s="107"/>
      <c r="D857" s="107"/>
    </row>
    <row r="858" spans="1:4" x14ac:dyDescent="0.25">
      <c r="A858" s="107"/>
      <c r="B858" s="107"/>
      <c r="C858" s="107"/>
      <c r="D858" s="107"/>
    </row>
    <row r="859" spans="1:4" x14ac:dyDescent="0.25">
      <c r="A859" s="107"/>
      <c r="B859" s="107"/>
      <c r="C859" s="107"/>
      <c r="D859" s="107"/>
    </row>
    <row r="860" spans="1:4" x14ac:dyDescent="0.25">
      <c r="A860" s="107"/>
      <c r="B860" s="107"/>
      <c r="C860" s="107"/>
      <c r="D860" s="107"/>
    </row>
    <row r="861" spans="1:4" x14ac:dyDescent="0.25">
      <c r="A861" s="107"/>
      <c r="B861" s="107"/>
      <c r="C861" s="107"/>
      <c r="D861" s="107"/>
    </row>
    <row r="862" spans="1:4" x14ac:dyDescent="0.25">
      <c r="A862" s="107"/>
      <c r="B862" s="107"/>
      <c r="C862" s="107"/>
      <c r="D862" s="107"/>
    </row>
    <row r="863" spans="1:4" x14ac:dyDescent="0.25">
      <c r="A863" s="107"/>
      <c r="B863" s="107"/>
      <c r="C863" s="107"/>
      <c r="D863" s="107"/>
    </row>
    <row r="864" spans="1:4" x14ac:dyDescent="0.25">
      <c r="A864" s="107"/>
      <c r="B864" s="107"/>
      <c r="C864" s="107"/>
      <c r="D864" s="107"/>
    </row>
    <row r="865" spans="1:4" x14ac:dyDescent="0.25">
      <c r="A865" s="107"/>
      <c r="B865" s="107"/>
      <c r="C865" s="107"/>
      <c r="D865" s="107"/>
    </row>
    <row r="866" spans="1:4" x14ac:dyDescent="0.25">
      <c r="A866" s="107"/>
      <c r="B866" s="107"/>
      <c r="C866" s="107"/>
      <c r="D866" s="107"/>
    </row>
    <row r="867" spans="1:4" x14ac:dyDescent="0.25">
      <c r="A867" s="107"/>
      <c r="B867" s="107"/>
      <c r="C867" s="107"/>
      <c r="D867" s="107"/>
    </row>
    <row r="868" spans="1:4" x14ac:dyDescent="0.25">
      <c r="A868" s="107"/>
      <c r="B868" s="107"/>
      <c r="C868" s="107"/>
      <c r="D868" s="107"/>
    </row>
    <row r="869" spans="1:4" x14ac:dyDescent="0.25">
      <c r="A869" s="107"/>
      <c r="B869" s="107"/>
      <c r="C869" s="107"/>
      <c r="D869" s="107"/>
    </row>
    <row r="870" spans="1:4" x14ac:dyDescent="0.25">
      <c r="A870" s="107"/>
      <c r="B870" s="107"/>
      <c r="C870" s="107"/>
      <c r="D870" s="107"/>
    </row>
    <row r="871" spans="1:4" x14ac:dyDescent="0.25">
      <c r="A871" s="107"/>
      <c r="B871" s="107"/>
      <c r="C871" s="107"/>
      <c r="D871" s="107"/>
    </row>
    <row r="872" spans="1:4" x14ac:dyDescent="0.25">
      <c r="A872" s="107"/>
      <c r="B872" s="107"/>
      <c r="C872" s="107"/>
      <c r="D872" s="107"/>
    </row>
    <row r="873" spans="1:4" x14ac:dyDescent="0.25">
      <c r="A873" s="107"/>
      <c r="B873" s="107"/>
      <c r="C873" s="107"/>
      <c r="D873" s="107"/>
    </row>
    <row r="874" spans="1:4" x14ac:dyDescent="0.25">
      <c r="A874" s="107"/>
      <c r="B874" s="107"/>
      <c r="C874" s="107"/>
      <c r="D874" s="107"/>
    </row>
    <row r="875" spans="1:4" x14ac:dyDescent="0.25">
      <c r="A875" s="107"/>
      <c r="B875" s="107"/>
      <c r="C875" s="107"/>
      <c r="D875" s="107"/>
    </row>
    <row r="876" spans="1:4" x14ac:dyDescent="0.25">
      <c r="A876" s="107"/>
      <c r="B876" s="107"/>
      <c r="C876" s="107"/>
      <c r="D876" s="107"/>
    </row>
    <row r="877" spans="1:4" x14ac:dyDescent="0.25">
      <c r="A877" s="107"/>
      <c r="B877" s="107"/>
      <c r="C877" s="107"/>
      <c r="D877" s="107"/>
    </row>
    <row r="878" spans="1:4" x14ac:dyDescent="0.25">
      <c r="A878" s="107"/>
      <c r="B878" s="107"/>
      <c r="C878" s="107"/>
      <c r="D878" s="107"/>
    </row>
    <row r="879" spans="1:4" x14ac:dyDescent="0.25">
      <c r="A879" s="107"/>
      <c r="B879" s="107"/>
      <c r="C879" s="107"/>
      <c r="D879" s="107"/>
    </row>
    <row r="880" spans="1:4" x14ac:dyDescent="0.25">
      <c r="A880" s="107"/>
      <c r="B880" s="107"/>
      <c r="C880" s="107"/>
      <c r="D880" s="107"/>
    </row>
    <row r="881" spans="1:4" x14ac:dyDescent="0.25">
      <c r="A881" s="107"/>
      <c r="B881" s="107"/>
      <c r="C881" s="107"/>
      <c r="D881" s="107"/>
    </row>
    <row r="882" spans="1:4" x14ac:dyDescent="0.25">
      <c r="A882" s="107"/>
      <c r="B882" s="107"/>
      <c r="C882" s="107"/>
      <c r="D882" s="107"/>
    </row>
    <row r="883" spans="1:4" x14ac:dyDescent="0.25">
      <c r="A883" s="107"/>
      <c r="B883" s="107"/>
      <c r="C883" s="107"/>
      <c r="D883" s="107"/>
    </row>
    <row r="884" spans="1:4" x14ac:dyDescent="0.25">
      <c r="A884" s="107"/>
      <c r="B884" s="107"/>
      <c r="C884" s="107"/>
      <c r="D884" s="107"/>
    </row>
    <row r="885" spans="1:4" x14ac:dyDescent="0.25">
      <c r="A885" s="107"/>
      <c r="B885" s="107"/>
      <c r="C885" s="107"/>
      <c r="D885" s="107"/>
    </row>
    <row r="886" spans="1:4" x14ac:dyDescent="0.25">
      <c r="A886" s="107"/>
      <c r="B886" s="107"/>
      <c r="C886" s="107"/>
      <c r="D886" s="107"/>
    </row>
    <row r="887" spans="1:4" x14ac:dyDescent="0.25">
      <c r="A887" s="107"/>
      <c r="B887" s="107"/>
      <c r="C887" s="107"/>
      <c r="D887" s="107"/>
    </row>
    <row r="888" spans="1:4" x14ac:dyDescent="0.25">
      <c r="A888" s="107"/>
      <c r="B888" s="107"/>
      <c r="C888" s="107"/>
      <c r="D888" s="107"/>
    </row>
    <row r="889" spans="1:4" x14ac:dyDescent="0.25">
      <c r="A889" s="107"/>
      <c r="B889" s="107"/>
      <c r="C889" s="107"/>
      <c r="D889" s="107"/>
    </row>
    <row r="890" spans="1:4" x14ac:dyDescent="0.25">
      <c r="A890" s="107"/>
      <c r="B890" s="107"/>
      <c r="C890" s="107"/>
      <c r="D890" s="107"/>
    </row>
    <row r="891" spans="1:4" x14ac:dyDescent="0.25">
      <c r="A891" s="107"/>
      <c r="B891" s="107"/>
      <c r="C891" s="107"/>
      <c r="D891" s="107"/>
    </row>
    <row r="892" spans="1:4" x14ac:dyDescent="0.25">
      <c r="A892" s="107"/>
      <c r="B892" s="107"/>
      <c r="C892" s="107"/>
      <c r="D892" s="107"/>
    </row>
    <row r="893" spans="1:4" x14ac:dyDescent="0.25">
      <c r="A893" s="107"/>
      <c r="B893" s="107"/>
      <c r="C893" s="107"/>
      <c r="D893" s="107"/>
    </row>
    <row r="894" spans="1:4" x14ac:dyDescent="0.25">
      <c r="A894" s="107"/>
      <c r="B894" s="107"/>
      <c r="C894" s="107"/>
      <c r="D894" s="107"/>
    </row>
    <row r="895" spans="1:4" x14ac:dyDescent="0.25">
      <c r="A895" s="107"/>
      <c r="B895" s="107"/>
      <c r="C895" s="107"/>
      <c r="D895" s="107"/>
    </row>
    <row r="896" spans="1:4" x14ac:dyDescent="0.25">
      <c r="A896" s="107"/>
      <c r="B896" s="107"/>
      <c r="C896" s="107"/>
      <c r="D896" s="107"/>
    </row>
    <row r="897" spans="1:4" x14ac:dyDescent="0.25">
      <c r="A897" s="107"/>
      <c r="B897" s="107"/>
      <c r="C897" s="107"/>
      <c r="D897" s="107"/>
    </row>
    <row r="898" spans="1:4" x14ac:dyDescent="0.25">
      <c r="A898" s="107"/>
      <c r="B898" s="107"/>
      <c r="C898" s="107"/>
      <c r="D898" s="107"/>
    </row>
    <row r="899" spans="1:4" x14ac:dyDescent="0.25">
      <c r="A899" s="107"/>
      <c r="B899" s="107"/>
      <c r="C899" s="107"/>
      <c r="D899" s="107"/>
    </row>
    <row r="900" spans="1:4" x14ac:dyDescent="0.25">
      <c r="A900" s="107"/>
      <c r="B900" s="107"/>
      <c r="C900" s="107"/>
      <c r="D900" s="107"/>
    </row>
    <row r="901" spans="1:4" x14ac:dyDescent="0.25">
      <c r="A901" s="107"/>
      <c r="B901" s="107"/>
      <c r="C901" s="107"/>
      <c r="D901" s="107"/>
    </row>
    <row r="902" spans="1:4" x14ac:dyDescent="0.25">
      <c r="A902" s="107"/>
      <c r="B902" s="107"/>
      <c r="C902" s="107"/>
      <c r="D902" s="107"/>
    </row>
    <row r="903" spans="1:4" x14ac:dyDescent="0.25">
      <c r="A903" s="107"/>
      <c r="B903" s="107"/>
      <c r="C903" s="107"/>
      <c r="D903" s="107"/>
    </row>
    <row r="904" spans="1:4" x14ac:dyDescent="0.25">
      <c r="A904" s="107"/>
      <c r="B904" s="107"/>
      <c r="C904" s="107"/>
      <c r="D904" s="107"/>
    </row>
    <row r="905" spans="1:4" x14ac:dyDescent="0.25">
      <c r="A905" s="107"/>
      <c r="B905" s="107"/>
      <c r="C905" s="107"/>
      <c r="D905" s="107"/>
    </row>
    <row r="906" spans="1:4" x14ac:dyDescent="0.25">
      <c r="A906" s="107"/>
      <c r="B906" s="107"/>
      <c r="C906" s="107"/>
      <c r="D906" s="107"/>
    </row>
    <row r="907" spans="1:4" x14ac:dyDescent="0.25">
      <c r="A907" s="107"/>
      <c r="B907" s="107"/>
      <c r="C907" s="107"/>
      <c r="D907" s="107"/>
    </row>
    <row r="908" spans="1:4" x14ac:dyDescent="0.25">
      <c r="A908" s="107"/>
      <c r="B908" s="107"/>
      <c r="C908" s="107"/>
      <c r="D908" s="107"/>
    </row>
    <row r="909" spans="1:4" x14ac:dyDescent="0.25">
      <c r="A909" s="107"/>
      <c r="B909" s="107"/>
      <c r="C909" s="107"/>
      <c r="D909" s="107"/>
    </row>
    <row r="910" spans="1:4" x14ac:dyDescent="0.25">
      <c r="A910" s="107"/>
      <c r="B910" s="107"/>
      <c r="C910" s="107"/>
      <c r="D910" s="107"/>
    </row>
    <row r="911" spans="1:4" x14ac:dyDescent="0.25">
      <c r="A911" s="107"/>
      <c r="B911" s="107"/>
      <c r="C911" s="107"/>
      <c r="D911" s="107"/>
    </row>
    <row r="912" spans="1:4" x14ac:dyDescent="0.25">
      <c r="A912" s="107"/>
      <c r="B912" s="107"/>
      <c r="C912" s="107"/>
      <c r="D912" s="107"/>
    </row>
    <row r="913" spans="1:4" x14ac:dyDescent="0.25">
      <c r="A913" s="107"/>
      <c r="B913" s="107"/>
      <c r="C913" s="107"/>
      <c r="D913" s="107"/>
    </row>
    <row r="914" spans="1:4" x14ac:dyDescent="0.25">
      <c r="A914" s="107"/>
      <c r="B914" s="107"/>
      <c r="C914" s="107"/>
      <c r="D914" s="107"/>
    </row>
    <row r="915" spans="1:4" x14ac:dyDescent="0.25">
      <c r="A915" s="107"/>
      <c r="B915" s="107"/>
      <c r="C915" s="107"/>
      <c r="D915" s="107"/>
    </row>
    <row r="916" spans="1:4" x14ac:dyDescent="0.25">
      <c r="A916" s="107"/>
      <c r="B916" s="107"/>
      <c r="C916" s="107"/>
      <c r="D916" s="107"/>
    </row>
    <row r="917" spans="1:4" x14ac:dyDescent="0.25">
      <c r="A917" s="107"/>
      <c r="B917" s="107"/>
      <c r="C917" s="107"/>
      <c r="D917" s="107"/>
    </row>
    <row r="918" spans="1:4" x14ac:dyDescent="0.25">
      <c r="A918" s="107"/>
      <c r="B918" s="107"/>
      <c r="C918" s="107"/>
      <c r="D918" s="107"/>
    </row>
    <row r="919" spans="1:4" x14ac:dyDescent="0.25">
      <c r="A919" s="107"/>
      <c r="B919" s="107"/>
      <c r="C919" s="107"/>
      <c r="D919" s="107"/>
    </row>
    <row r="920" spans="1:4" x14ac:dyDescent="0.25">
      <c r="A920" s="107"/>
      <c r="B920" s="107"/>
      <c r="C920" s="107"/>
      <c r="D920" s="107"/>
    </row>
    <row r="921" spans="1:4" x14ac:dyDescent="0.25">
      <c r="A921" s="107"/>
      <c r="B921" s="107"/>
      <c r="C921" s="107"/>
      <c r="D921" s="107"/>
    </row>
    <row r="922" spans="1:4" x14ac:dyDescent="0.25">
      <c r="A922" s="107"/>
      <c r="B922" s="107"/>
      <c r="C922" s="107"/>
      <c r="D922" s="107"/>
    </row>
    <row r="923" spans="1:4" x14ac:dyDescent="0.25">
      <c r="A923" s="107"/>
      <c r="B923" s="107"/>
      <c r="C923" s="107"/>
      <c r="D923" s="107"/>
    </row>
    <row r="924" spans="1:4" x14ac:dyDescent="0.25">
      <c r="A924" s="107"/>
      <c r="B924" s="107"/>
      <c r="C924" s="107"/>
      <c r="D924" s="107"/>
    </row>
    <row r="925" spans="1:4" x14ac:dyDescent="0.25">
      <c r="A925" s="107"/>
      <c r="B925" s="107"/>
      <c r="C925" s="107"/>
      <c r="D925" s="107"/>
    </row>
    <row r="926" spans="1:4" x14ac:dyDescent="0.25">
      <c r="A926" s="107"/>
      <c r="B926" s="107"/>
      <c r="C926" s="107"/>
      <c r="D926" s="107"/>
    </row>
    <row r="927" spans="1:4" x14ac:dyDescent="0.25">
      <c r="A927" s="107"/>
      <c r="B927" s="107"/>
      <c r="C927" s="107"/>
      <c r="D927" s="107"/>
    </row>
    <row r="928" spans="1:4" x14ac:dyDescent="0.25">
      <c r="A928" s="107"/>
      <c r="B928" s="107"/>
      <c r="C928" s="107"/>
      <c r="D928" s="107"/>
    </row>
    <row r="929" spans="1:4" x14ac:dyDescent="0.25">
      <c r="A929" s="107"/>
      <c r="B929" s="107"/>
      <c r="C929" s="107"/>
      <c r="D929" s="107"/>
    </row>
    <row r="930" spans="1:4" x14ac:dyDescent="0.25">
      <c r="A930" s="107"/>
      <c r="B930" s="107"/>
      <c r="C930" s="107"/>
      <c r="D930" s="107"/>
    </row>
    <row r="931" spans="1:4" x14ac:dyDescent="0.25">
      <c r="A931" s="107"/>
      <c r="B931" s="107"/>
      <c r="C931" s="107"/>
      <c r="D931" s="107"/>
    </row>
    <row r="932" spans="1:4" x14ac:dyDescent="0.25">
      <c r="A932" s="107"/>
      <c r="B932" s="107"/>
      <c r="C932" s="107"/>
      <c r="D932" s="107"/>
    </row>
    <row r="933" spans="1:4" x14ac:dyDescent="0.25">
      <c r="A933" s="107"/>
      <c r="B933" s="107"/>
      <c r="C933" s="107"/>
      <c r="D933" s="107"/>
    </row>
    <row r="934" spans="1:4" x14ac:dyDescent="0.25">
      <c r="A934" s="107"/>
      <c r="B934" s="107"/>
      <c r="C934" s="107"/>
      <c r="D934" s="107"/>
    </row>
    <row r="935" spans="1:4" x14ac:dyDescent="0.25">
      <c r="A935" s="107"/>
      <c r="B935" s="107"/>
      <c r="C935" s="107"/>
      <c r="D935" s="107"/>
    </row>
    <row r="936" spans="1:4" x14ac:dyDescent="0.25">
      <c r="A936" s="107"/>
      <c r="B936" s="107"/>
      <c r="C936" s="107"/>
      <c r="D936" s="107"/>
    </row>
    <row r="937" spans="1:4" x14ac:dyDescent="0.25">
      <c r="A937" s="107"/>
      <c r="B937" s="107"/>
      <c r="C937" s="107"/>
      <c r="D937" s="107"/>
    </row>
    <row r="938" spans="1:4" x14ac:dyDescent="0.25">
      <c r="A938" s="107"/>
      <c r="B938" s="107"/>
      <c r="C938" s="107"/>
      <c r="D938" s="107"/>
    </row>
    <row r="939" spans="1:4" x14ac:dyDescent="0.25">
      <c r="A939" s="107"/>
      <c r="B939" s="107"/>
      <c r="C939" s="107"/>
      <c r="D939" s="107"/>
    </row>
    <row r="940" spans="1:4" x14ac:dyDescent="0.25">
      <c r="A940" s="107"/>
      <c r="B940" s="107"/>
      <c r="C940" s="107"/>
      <c r="D940" s="107"/>
    </row>
    <row r="941" spans="1:4" x14ac:dyDescent="0.25">
      <c r="A941" s="107"/>
      <c r="B941" s="107"/>
      <c r="C941" s="107"/>
      <c r="D941" s="107"/>
    </row>
    <row r="942" spans="1:4" x14ac:dyDescent="0.25">
      <c r="A942" s="107"/>
      <c r="B942" s="107"/>
      <c r="C942" s="107"/>
      <c r="D942" s="107"/>
    </row>
    <row r="943" spans="1:4" x14ac:dyDescent="0.25">
      <c r="A943" s="107"/>
      <c r="B943" s="107"/>
      <c r="C943" s="107"/>
      <c r="D943" s="107"/>
    </row>
    <row r="944" spans="1:4" x14ac:dyDescent="0.25">
      <c r="A944" s="107"/>
      <c r="B944" s="107"/>
      <c r="C944" s="107"/>
      <c r="D944" s="107"/>
    </row>
    <row r="945" spans="1:4" x14ac:dyDescent="0.25">
      <c r="A945" s="107"/>
      <c r="B945" s="107"/>
      <c r="C945" s="107"/>
      <c r="D945" s="107"/>
    </row>
    <row r="946" spans="1:4" x14ac:dyDescent="0.25">
      <c r="A946" s="107"/>
      <c r="B946" s="107"/>
      <c r="C946" s="107"/>
      <c r="D946" s="107"/>
    </row>
    <row r="947" spans="1:4" x14ac:dyDescent="0.25">
      <c r="A947" s="107"/>
      <c r="B947" s="107"/>
      <c r="C947" s="107"/>
      <c r="D947" s="107"/>
    </row>
    <row r="948" spans="1:4" x14ac:dyDescent="0.25">
      <c r="A948" s="107"/>
      <c r="B948" s="107"/>
      <c r="C948" s="107"/>
      <c r="D948" s="107"/>
    </row>
    <row r="949" spans="1:4" x14ac:dyDescent="0.25">
      <c r="A949" s="107"/>
      <c r="B949" s="107"/>
      <c r="C949" s="107"/>
      <c r="D949" s="107"/>
    </row>
    <row r="950" spans="1:4" x14ac:dyDescent="0.25">
      <c r="A950" s="107"/>
      <c r="B950" s="107"/>
      <c r="C950" s="107"/>
      <c r="D950" s="107"/>
    </row>
    <row r="951" spans="1:4" x14ac:dyDescent="0.25">
      <c r="A951" s="107"/>
      <c r="B951" s="107"/>
      <c r="C951" s="107"/>
      <c r="D951" s="107"/>
    </row>
    <row r="952" spans="1:4" x14ac:dyDescent="0.25">
      <c r="A952" s="107"/>
      <c r="B952" s="107"/>
      <c r="C952" s="107"/>
      <c r="D952" s="107"/>
    </row>
    <row r="953" spans="1:4" x14ac:dyDescent="0.25">
      <c r="A953" s="107"/>
      <c r="B953" s="107"/>
      <c r="C953" s="107"/>
      <c r="D953" s="107"/>
    </row>
    <row r="954" spans="1:4" x14ac:dyDescent="0.25">
      <c r="A954" s="107"/>
      <c r="B954" s="107"/>
      <c r="C954" s="107"/>
      <c r="D954" s="107"/>
    </row>
    <row r="955" spans="1:4" x14ac:dyDescent="0.25">
      <c r="A955" s="107"/>
      <c r="B955" s="107"/>
      <c r="C955" s="107"/>
      <c r="D955" s="107"/>
    </row>
    <row r="956" spans="1:4" x14ac:dyDescent="0.25">
      <c r="A956" s="107"/>
      <c r="B956" s="107"/>
      <c r="C956" s="107"/>
      <c r="D956" s="107"/>
    </row>
    <row r="957" spans="1:4" x14ac:dyDescent="0.25">
      <c r="A957" s="107"/>
      <c r="B957" s="107"/>
      <c r="C957" s="107"/>
      <c r="D957" s="107"/>
    </row>
    <row r="958" spans="1:4" x14ac:dyDescent="0.25">
      <c r="A958" s="107"/>
      <c r="B958" s="107"/>
      <c r="C958" s="107"/>
      <c r="D958" s="107"/>
    </row>
    <row r="959" spans="1:4" x14ac:dyDescent="0.25">
      <c r="A959" s="107"/>
      <c r="B959" s="107"/>
      <c r="C959" s="107"/>
      <c r="D959" s="107"/>
    </row>
    <row r="960" spans="1:4" x14ac:dyDescent="0.25">
      <c r="A960" s="107"/>
      <c r="B960" s="107"/>
      <c r="C960" s="107"/>
      <c r="D960" s="107"/>
    </row>
    <row r="961" spans="1:4" x14ac:dyDescent="0.25">
      <c r="A961" s="107"/>
      <c r="B961" s="107"/>
      <c r="C961" s="107"/>
      <c r="D961" s="107"/>
    </row>
    <row r="962" spans="1:4" x14ac:dyDescent="0.25">
      <c r="A962" s="107"/>
      <c r="B962" s="107"/>
      <c r="C962" s="107"/>
      <c r="D962" s="107"/>
    </row>
    <row r="963" spans="1:4" x14ac:dyDescent="0.25">
      <c r="A963" s="107"/>
      <c r="B963" s="107"/>
      <c r="C963" s="107"/>
      <c r="D963" s="107"/>
    </row>
    <row r="964" spans="1:4" x14ac:dyDescent="0.25">
      <c r="A964" s="107"/>
      <c r="B964" s="107"/>
      <c r="C964" s="107"/>
      <c r="D964" s="107"/>
    </row>
    <row r="965" spans="1:4" x14ac:dyDescent="0.25">
      <c r="A965" s="107"/>
      <c r="B965" s="107"/>
      <c r="C965" s="107"/>
      <c r="D965" s="107"/>
    </row>
    <row r="966" spans="1:4" x14ac:dyDescent="0.25">
      <c r="A966" s="107"/>
      <c r="B966" s="107"/>
      <c r="C966" s="107"/>
      <c r="D966" s="107"/>
    </row>
    <row r="967" spans="1:4" x14ac:dyDescent="0.25">
      <c r="A967" s="107"/>
      <c r="B967" s="107"/>
      <c r="C967" s="107"/>
      <c r="D967" s="107"/>
    </row>
    <row r="968" spans="1:4" x14ac:dyDescent="0.25">
      <c r="A968" s="107"/>
      <c r="B968" s="107"/>
      <c r="C968" s="107"/>
      <c r="D968" s="107"/>
    </row>
    <row r="969" spans="1:4" x14ac:dyDescent="0.25">
      <c r="A969" s="107"/>
      <c r="B969" s="107"/>
      <c r="C969" s="107"/>
      <c r="D969" s="107"/>
    </row>
    <row r="970" spans="1:4" x14ac:dyDescent="0.25">
      <c r="A970" s="107"/>
      <c r="B970" s="107"/>
      <c r="C970" s="107"/>
      <c r="D970" s="107"/>
    </row>
    <row r="971" spans="1:4" x14ac:dyDescent="0.25">
      <c r="A971" s="107"/>
      <c r="B971" s="107"/>
      <c r="C971" s="107"/>
      <c r="D971" s="107"/>
    </row>
    <row r="972" spans="1:4" x14ac:dyDescent="0.25">
      <c r="A972" s="107"/>
      <c r="B972" s="107"/>
      <c r="C972" s="107"/>
      <c r="D972" s="107"/>
    </row>
    <row r="973" spans="1:4" x14ac:dyDescent="0.25">
      <c r="A973" s="107"/>
      <c r="B973" s="107"/>
      <c r="C973" s="107"/>
      <c r="D973" s="107"/>
    </row>
    <row r="974" spans="1:4" x14ac:dyDescent="0.25">
      <c r="A974" s="107"/>
      <c r="B974" s="107"/>
      <c r="C974" s="107"/>
      <c r="D974" s="107"/>
    </row>
    <row r="975" spans="1:4" x14ac:dyDescent="0.25">
      <c r="A975" s="107"/>
      <c r="B975" s="107"/>
      <c r="C975" s="107"/>
      <c r="D975" s="107"/>
    </row>
    <row r="976" spans="1:4" x14ac:dyDescent="0.25">
      <c r="A976" s="107"/>
      <c r="B976" s="107"/>
      <c r="C976" s="107"/>
      <c r="D976" s="107"/>
    </row>
    <row r="977" spans="1:4" x14ac:dyDescent="0.25">
      <c r="A977" s="107"/>
      <c r="B977" s="107"/>
      <c r="C977" s="107"/>
      <c r="D977" s="107"/>
    </row>
    <row r="978" spans="1:4" x14ac:dyDescent="0.25">
      <c r="A978" s="107"/>
      <c r="B978" s="107"/>
      <c r="C978" s="107"/>
      <c r="D978" s="107"/>
    </row>
    <row r="979" spans="1:4" x14ac:dyDescent="0.25">
      <c r="A979" s="107"/>
      <c r="B979" s="107"/>
      <c r="C979" s="107"/>
      <c r="D979" s="107"/>
    </row>
    <row r="980" spans="1:4" x14ac:dyDescent="0.25">
      <c r="A980" s="107"/>
      <c r="B980" s="107"/>
      <c r="C980" s="107"/>
      <c r="D980" s="107"/>
    </row>
    <row r="981" spans="1:4" x14ac:dyDescent="0.25">
      <c r="A981" s="107"/>
      <c r="B981" s="107"/>
      <c r="C981" s="107"/>
      <c r="D981" s="107"/>
    </row>
    <row r="982" spans="1:4" x14ac:dyDescent="0.25">
      <c r="A982" s="107"/>
      <c r="B982" s="107"/>
      <c r="C982" s="107"/>
      <c r="D982" s="107"/>
    </row>
    <row r="983" spans="1:4" x14ac:dyDescent="0.25">
      <c r="A983" s="107"/>
      <c r="B983" s="107"/>
      <c r="C983" s="107"/>
      <c r="D983" s="107"/>
    </row>
    <row r="984" spans="1:4" x14ac:dyDescent="0.25">
      <c r="A984" s="107"/>
      <c r="B984" s="107"/>
      <c r="C984" s="107"/>
      <c r="D984" s="107"/>
    </row>
    <row r="985" spans="1:4" x14ac:dyDescent="0.25">
      <c r="A985" s="107"/>
      <c r="B985" s="107"/>
      <c r="C985" s="107"/>
      <c r="D985" s="107"/>
    </row>
    <row r="986" spans="1:4" x14ac:dyDescent="0.25">
      <c r="A986" s="107"/>
      <c r="B986" s="107"/>
      <c r="C986" s="107"/>
      <c r="D986" s="107"/>
    </row>
    <row r="987" spans="1:4" x14ac:dyDescent="0.25">
      <c r="A987" s="107"/>
      <c r="B987" s="107"/>
      <c r="C987" s="107"/>
      <c r="D987" s="107"/>
    </row>
    <row r="988" spans="1:4" x14ac:dyDescent="0.25">
      <c r="A988" s="107"/>
      <c r="B988" s="107"/>
      <c r="C988" s="107"/>
      <c r="D988" s="107"/>
    </row>
    <row r="989" spans="1:4" x14ac:dyDescent="0.25">
      <c r="A989" s="107"/>
      <c r="B989" s="107"/>
      <c r="C989" s="107"/>
      <c r="D989" s="107"/>
    </row>
    <row r="990" spans="1:4" x14ac:dyDescent="0.25">
      <c r="A990" s="107"/>
      <c r="B990" s="107"/>
      <c r="C990" s="107"/>
      <c r="D990" s="107"/>
    </row>
    <row r="991" spans="1:4" x14ac:dyDescent="0.25">
      <c r="A991" s="107"/>
      <c r="B991" s="107"/>
      <c r="C991" s="107"/>
      <c r="D991" s="107"/>
    </row>
    <row r="992" spans="1:4" x14ac:dyDescent="0.25">
      <c r="A992" s="107"/>
      <c r="B992" s="107"/>
      <c r="C992" s="107"/>
      <c r="D992" s="107"/>
    </row>
    <row r="993" spans="1:4" x14ac:dyDescent="0.25">
      <c r="A993" s="107"/>
      <c r="B993" s="107"/>
      <c r="C993" s="107"/>
      <c r="D993" s="107"/>
    </row>
    <row r="994" spans="1:4" x14ac:dyDescent="0.25">
      <c r="A994" s="107"/>
      <c r="B994" s="107"/>
      <c r="C994" s="107"/>
      <c r="D994" s="107"/>
    </row>
    <row r="995" spans="1:4" x14ac:dyDescent="0.25">
      <c r="A995" s="107"/>
      <c r="B995" s="107"/>
      <c r="C995" s="107"/>
      <c r="D995" s="107"/>
    </row>
    <row r="996" spans="1:4" x14ac:dyDescent="0.25">
      <c r="A996" s="107"/>
      <c r="B996" s="107"/>
      <c r="C996" s="107"/>
      <c r="D996" s="107"/>
    </row>
    <row r="997" spans="1:4" x14ac:dyDescent="0.25">
      <c r="A997" s="107"/>
      <c r="B997" s="107"/>
      <c r="C997" s="107"/>
      <c r="D997" s="107"/>
    </row>
    <row r="998" spans="1:4" x14ac:dyDescent="0.25">
      <c r="A998" s="107"/>
      <c r="B998" s="107"/>
      <c r="C998" s="107"/>
      <c r="D998" s="107"/>
    </row>
    <row r="999" spans="1:4" x14ac:dyDescent="0.25">
      <c r="A999" s="107"/>
      <c r="B999" s="107"/>
      <c r="C999" s="107"/>
      <c r="D999" s="107"/>
    </row>
    <row r="1000" spans="1:4" x14ac:dyDescent="0.25">
      <c r="A1000" s="107"/>
      <c r="B1000" s="107"/>
      <c r="C1000" s="107"/>
      <c r="D1000" s="107"/>
    </row>
  </sheetData>
  <dataConsolidate/>
  <dataValidations count="1">
    <dataValidation type="list" allowBlank="1" showErrorMessage="1" sqref="B1">
      <formula1>"Sun,Mon,Tue,Wed,Thu,Fri,Sat"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25" baseType="lpstr">
      <vt:lpstr>CHEQUES</vt:lpstr>
      <vt:lpstr>Mon 20</vt:lpstr>
      <vt:lpstr>Tue 21</vt:lpstr>
      <vt:lpstr>Wed 22</vt:lpstr>
      <vt:lpstr>Thu 23</vt:lpstr>
      <vt:lpstr>Fri 24</vt:lpstr>
      <vt:lpstr>Sat 25</vt:lpstr>
      <vt:lpstr>Sun 26</vt:lpstr>
      <vt:lpstr>Summary 200217 - 260217</vt:lpstr>
      <vt:lpstr>DAILY TOTALS</vt:lpstr>
      <vt:lpstr>config</vt:lpstr>
      <vt:lpstr>Chart1</vt:lpstr>
      <vt:lpstr>closingDate</vt:lpstr>
      <vt:lpstr>datedSheets</vt:lpstr>
      <vt:lpstr>datedSheetsFmt</vt:lpstr>
      <vt:lpstr>dayDates</vt:lpstr>
      <vt:lpstr>dayDatesRaw</vt:lpstr>
      <vt:lpstr>daysOfWeek</vt:lpstr>
      <vt:lpstr>daysOfWeekFmt</vt:lpstr>
      <vt:lpstr>daysOfWeekRaw</vt:lpstr>
      <vt:lpstr>lastDayOfWeek</vt:lpstr>
      <vt:lpstr>mondayDate</vt:lpstr>
      <vt:lpstr>prevWEDate</vt:lpstr>
      <vt:lpstr>prevWEDaye</vt:lpstr>
      <vt:lpstr>selectedDate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Bob</cp:lastModifiedBy>
  <dcterms:created xsi:type="dcterms:W3CDTF">2017-02-07T03:44:58Z</dcterms:created>
  <dcterms:modified xsi:type="dcterms:W3CDTF">2017-02-12T06:48:08Z</dcterms:modified>
</cp:coreProperties>
</file>